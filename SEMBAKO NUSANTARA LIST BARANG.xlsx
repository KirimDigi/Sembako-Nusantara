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jajangnurjaman/Downloads/"/>
    </mc:Choice>
  </mc:AlternateContent>
  <xr:revisionPtr revIDLastSave="0" documentId="13_ncr:20001_{7996EB83-74AA-B64E-A710-AF2ED2BBE4EC}" xr6:coauthVersionLast="47" xr6:coauthVersionMax="47" xr10:uidLastSave="{00000000-0000-0000-0000-000000000000}"/>
  <bookViews>
    <workbookView xWindow="0" yWindow="500" windowWidth="33600" windowHeight="20500" activeTab="4" xr2:uid="{00000000-000D-0000-FFFF-FFFF00000000}"/>
  </bookViews>
  <sheets>
    <sheet name="00 Panduan" sheetId="1" r:id="rId1"/>
    <sheet name="01 Product Master" sheetId="2" r:id="rId2"/>
    <sheet name="02 Input Harga Kompetitor" sheetId="3" r:id="rId3"/>
    <sheet name="03 Pricing" sheetId="4" r:id="rId4"/>
    <sheet name="04 Dashboard" sheetId="5" r:id="rId5"/>
    <sheet name="05 Lists" sheetId="6" state="hidden" r:id="rId6"/>
  </sheets>
  <definedNames>
    <definedName name="_xlnm._FilterDatabase" localSheetId="1" hidden="1">'01 Product Master'!$A$1:$S$500</definedName>
    <definedName name="_xlnm._FilterDatabase" localSheetId="2" hidden="1">'02 Input Harga Kompetitor'!$A$1:$I$500</definedName>
    <definedName name="_xlnm._FilterDatabase" localSheetId="3" hidden="1">'03 Pricing'!$A$1:$K$500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" l="1"/>
  <c r="K4" i="2" s="1"/>
  <c r="N4" i="2" l="1"/>
  <c r="M4" i="2"/>
  <c r="L4" i="2"/>
  <c r="J179" i="2"/>
  <c r="K179" i="2" s="1"/>
  <c r="Q179" i="2" s="1"/>
  <c r="J180" i="2"/>
  <c r="K180" i="2" s="1"/>
  <c r="L180" i="2" s="1"/>
  <c r="J181" i="2"/>
  <c r="K181" i="2" s="1"/>
  <c r="N181" i="2" s="1"/>
  <c r="J182" i="2"/>
  <c r="K182" i="2" s="1"/>
  <c r="L182" i="2" s="1"/>
  <c r="J183" i="2"/>
  <c r="K183" i="2" s="1"/>
  <c r="L183" i="2" s="1"/>
  <c r="J184" i="2"/>
  <c r="K184" i="2" s="1"/>
  <c r="L184" i="2" s="1"/>
  <c r="J166" i="2"/>
  <c r="K166" i="2" s="1"/>
  <c r="L166" i="2" s="1"/>
  <c r="J167" i="2"/>
  <c r="K167" i="2" s="1"/>
  <c r="L167" i="2" s="1"/>
  <c r="J168" i="2"/>
  <c r="K168" i="2" s="1"/>
  <c r="P168" i="2" s="1"/>
  <c r="J169" i="2"/>
  <c r="K169" i="2" s="1"/>
  <c r="L169" i="2" s="1"/>
  <c r="J170" i="2"/>
  <c r="K170" i="2" s="1"/>
  <c r="M170" i="2" s="1"/>
  <c r="J171" i="2"/>
  <c r="K171" i="2" s="1"/>
  <c r="Q171" i="2" s="1"/>
  <c r="J172" i="2"/>
  <c r="K172" i="2" s="1"/>
  <c r="L172" i="2" s="1"/>
  <c r="J173" i="2"/>
  <c r="K173" i="2" s="1"/>
  <c r="N173" i="2" s="1"/>
  <c r="J174" i="2"/>
  <c r="K174" i="2" s="1"/>
  <c r="L174" i="2" s="1"/>
  <c r="J175" i="2"/>
  <c r="K175" i="2" s="1"/>
  <c r="L175" i="2" s="1"/>
  <c r="J176" i="2"/>
  <c r="K176" i="2" s="1"/>
  <c r="P176" i="2" s="1"/>
  <c r="J177" i="2"/>
  <c r="K177" i="2" s="1"/>
  <c r="L177" i="2" s="1"/>
  <c r="J178" i="2"/>
  <c r="K178" i="2" s="1"/>
  <c r="M178" i="2" s="1"/>
  <c r="J151" i="2"/>
  <c r="K151" i="2" s="1"/>
  <c r="L151" i="2" s="1"/>
  <c r="J152" i="2"/>
  <c r="K152" i="2" s="1"/>
  <c r="L152" i="2" s="1"/>
  <c r="J153" i="2"/>
  <c r="K153" i="2" s="1"/>
  <c r="P153" i="2" s="1"/>
  <c r="J154" i="2"/>
  <c r="K154" i="2" s="1"/>
  <c r="M154" i="2" s="1"/>
  <c r="J155" i="2"/>
  <c r="K155" i="2" s="1"/>
  <c r="M155" i="2" s="1"/>
  <c r="J156" i="2"/>
  <c r="K156" i="2" s="1"/>
  <c r="Q156" i="2" s="1"/>
  <c r="J157" i="2"/>
  <c r="K157" i="2" s="1"/>
  <c r="L157" i="2" s="1"/>
  <c r="J158" i="2"/>
  <c r="K158" i="2" s="1"/>
  <c r="N158" i="2" s="1"/>
  <c r="J159" i="2"/>
  <c r="K159" i="2" s="1"/>
  <c r="J160" i="2"/>
  <c r="K160" i="2" s="1"/>
  <c r="P160" i="2" s="1"/>
  <c r="J161" i="2"/>
  <c r="K161" i="2" s="1"/>
  <c r="L161" i="2" s="1"/>
  <c r="J162" i="2"/>
  <c r="K162" i="2" s="1"/>
  <c r="M162" i="2" s="1"/>
  <c r="J163" i="2"/>
  <c r="K163" i="2" s="1"/>
  <c r="Q163" i="2" s="1"/>
  <c r="J164" i="2"/>
  <c r="K164" i="2" s="1"/>
  <c r="L164" i="2" s="1"/>
  <c r="J165" i="2"/>
  <c r="K165" i="2" s="1"/>
  <c r="N165" i="2" s="1"/>
  <c r="J136" i="2"/>
  <c r="K136" i="2" s="1"/>
  <c r="L136" i="2" s="1"/>
  <c r="J137" i="2"/>
  <c r="K137" i="2" s="1"/>
  <c r="M137" i="2" s="1"/>
  <c r="J138" i="2"/>
  <c r="K138" i="2" s="1"/>
  <c r="Q138" i="2" s="1"/>
  <c r="J139" i="2"/>
  <c r="K139" i="2" s="1"/>
  <c r="L139" i="2" s="1"/>
  <c r="J140" i="2"/>
  <c r="K140" i="2" s="1"/>
  <c r="N140" i="2" s="1"/>
  <c r="J141" i="2"/>
  <c r="K141" i="2" s="1"/>
  <c r="Q141" i="2" s="1"/>
  <c r="J142" i="2"/>
  <c r="K142" i="2" s="1"/>
  <c r="L142" i="2" s="1"/>
  <c r="J143" i="2"/>
  <c r="K143" i="2" s="1"/>
  <c r="P143" i="2" s="1"/>
  <c r="J144" i="2"/>
  <c r="K144" i="2" s="1"/>
  <c r="L144" i="2" s="1"/>
  <c r="J145" i="2"/>
  <c r="K145" i="2" s="1"/>
  <c r="P145" i="2" s="1"/>
  <c r="J146" i="2"/>
  <c r="K146" i="2" s="1"/>
  <c r="L146" i="2" s="1"/>
  <c r="J147" i="2"/>
  <c r="K147" i="2" s="1"/>
  <c r="M147" i="2" s="1"/>
  <c r="J148" i="2"/>
  <c r="K148" i="2" s="1"/>
  <c r="Q148" i="2" s="1"/>
  <c r="J149" i="2"/>
  <c r="K149" i="2" s="1"/>
  <c r="L149" i="2" s="1"/>
  <c r="J150" i="2"/>
  <c r="K150" i="2" s="1"/>
  <c r="N150" i="2" s="1"/>
  <c r="J127" i="2"/>
  <c r="K127" i="2" s="1"/>
  <c r="P127" i="2" s="1"/>
  <c r="J128" i="2"/>
  <c r="K128" i="2" s="1"/>
  <c r="L128" i="2" s="1"/>
  <c r="J129" i="2"/>
  <c r="K129" i="2" s="1"/>
  <c r="M129" i="2" s="1"/>
  <c r="J130" i="2"/>
  <c r="K130" i="2" s="1"/>
  <c r="Q130" i="2" s="1"/>
  <c r="J131" i="2"/>
  <c r="K131" i="2" s="1"/>
  <c r="L131" i="2" s="1"/>
  <c r="J132" i="2"/>
  <c r="K132" i="2" s="1"/>
  <c r="N132" i="2" s="1"/>
  <c r="J133" i="2"/>
  <c r="K133" i="2" s="1"/>
  <c r="Q133" i="2" s="1"/>
  <c r="J134" i="2"/>
  <c r="K134" i="2" s="1"/>
  <c r="L134" i="2" s="1"/>
  <c r="J135" i="2"/>
  <c r="K135" i="2" s="1"/>
  <c r="P135" i="2" s="1"/>
  <c r="J113" i="2"/>
  <c r="K113" i="2" s="1"/>
  <c r="L113" i="2" s="1"/>
  <c r="J114" i="2"/>
  <c r="K114" i="2" s="1"/>
  <c r="P114" i="2" s="1"/>
  <c r="J115" i="2"/>
  <c r="K115" i="2" s="1"/>
  <c r="L115" i="2" s="1"/>
  <c r="J116" i="2"/>
  <c r="K116" i="2" s="1"/>
  <c r="M116" i="2" s="1"/>
  <c r="J117" i="2"/>
  <c r="K117" i="2" s="1"/>
  <c r="Q117" i="2" s="1"/>
  <c r="J118" i="2"/>
  <c r="K118" i="2" s="1"/>
  <c r="L118" i="2" s="1"/>
  <c r="J119" i="2"/>
  <c r="K119" i="2" s="1"/>
  <c r="N119" i="2" s="1"/>
  <c r="J120" i="2"/>
  <c r="K120" i="2" s="1"/>
  <c r="Q120" i="2" s="1"/>
  <c r="J121" i="2"/>
  <c r="K121" i="2" s="1"/>
  <c r="P121" i="2" s="1"/>
  <c r="J122" i="2"/>
  <c r="K122" i="2" s="1"/>
  <c r="P122" i="2" s="1"/>
  <c r="J123" i="2"/>
  <c r="K123" i="2" s="1"/>
  <c r="L123" i="2" s="1"/>
  <c r="J124" i="2"/>
  <c r="K124" i="2" s="1"/>
  <c r="M124" i="2" s="1"/>
  <c r="J125" i="2"/>
  <c r="K125" i="2" s="1"/>
  <c r="Q125" i="2" s="1"/>
  <c r="J126" i="2"/>
  <c r="K126" i="2" s="1"/>
  <c r="L126" i="2" s="1"/>
  <c r="J101" i="2"/>
  <c r="K101" i="2" s="1"/>
  <c r="P101" i="2" s="1"/>
  <c r="J102" i="2"/>
  <c r="K102" i="2" s="1"/>
  <c r="Q102" i="2" s="1"/>
  <c r="J103" i="2"/>
  <c r="K103" i="2" s="1"/>
  <c r="L103" i="2" s="1"/>
  <c r="J104" i="2"/>
  <c r="K104" i="2" s="1"/>
  <c r="M104" i="2" s="1"/>
  <c r="J105" i="2"/>
  <c r="K105" i="2" s="1"/>
  <c r="L105" i="2" s="1"/>
  <c r="J106" i="2"/>
  <c r="K106" i="2" s="1"/>
  <c r="J107" i="2"/>
  <c r="K107" i="2" s="1"/>
  <c r="P107" i="2" s="1"/>
  <c r="J108" i="2"/>
  <c r="K108" i="2" s="1"/>
  <c r="L108" i="2" s="1"/>
  <c r="J109" i="2"/>
  <c r="K109" i="2" s="1"/>
  <c r="M109" i="2" s="1"/>
  <c r="J110" i="2"/>
  <c r="K110" i="2" s="1"/>
  <c r="Q110" i="2" s="1"/>
  <c r="J111" i="2"/>
  <c r="K111" i="2" s="1"/>
  <c r="L111" i="2" s="1"/>
  <c r="J112" i="2"/>
  <c r="K112" i="2" s="1"/>
  <c r="N112" i="2" s="1"/>
  <c r="J82" i="2"/>
  <c r="K82" i="2" s="1"/>
  <c r="M82" i="2" s="1"/>
  <c r="J83" i="2"/>
  <c r="K83" i="2" s="1"/>
  <c r="Q83" i="2" s="1"/>
  <c r="J84" i="2"/>
  <c r="K84" i="2" s="1"/>
  <c r="L84" i="2" s="1"/>
  <c r="K85" i="2"/>
  <c r="N85" i="2" s="1"/>
  <c r="J86" i="2"/>
  <c r="K86" i="2" s="1"/>
  <c r="P86" i="2" s="1"/>
  <c r="J87" i="2"/>
  <c r="K87" i="2" s="1"/>
  <c r="L87" i="2" s="1"/>
  <c r="J88" i="2"/>
  <c r="K88" i="2" s="1"/>
  <c r="L88" i="2" s="1"/>
  <c r="J89" i="2"/>
  <c r="K89" i="2" s="1"/>
  <c r="Q89" i="2" s="1"/>
  <c r="J90" i="2"/>
  <c r="K90" i="2" s="1"/>
  <c r="L90" i="2" s="1"/>
  <c r="J91" i="2"/>
  <c r="K91" i="2" s="1"/>
  <c r="Q91" i="2" s="1"/>
  <c r="J92" i="2"/>
  <c r="K92" i="2" s="1"/>
  <c r="L92" i="2" s="1"/>
  <c r="J93" i="2"/>
  <c r="K93" i="2" s="1"/>
  <c r="Q93" i="2" s="1"/>
  <c r="J94" i="2"/>
  <c r="K94" i="2" s="1"/>
  <c r="P94" i="2" s="1"/>
  <c r="J95" i="2"/>
  <c r="K95" i="2" s="1"/>
  <c r="L95" i="2" s="1"/>
  <c r="J96" i="2"/>
  <c r="K96" i="2" s="1"/>
  <c r="L96" i="2" s="1"/>
  <c r="J97" i="2"/>
  <c r="K97" i="2" s="1"/>
  <c r="Q97" i="2" s="1"/>
  <c r="J98" i="2"/>
  <c r="K98" i="2" s="1"/>
  <c r="J99" i="2"/>
  <c r="K99" i="2" s="1"/>
  <c r="N99" i="2" s="1"/>
  <c r="J100" i="2"/>
  <c r="K100" i="2" s="1"/>
  <c r="L100" i="2" s="1"/>
  <c r="J63" i="2"/>
  <c r="K63" i="2" s="1"/>
  <c r="L63" i="2" s="1"/>
  <c r="J64" i="2"/>
  <c r="K64" i="2" s="1"/>
  <c r="P64" i="2" s="1"/>
  <c r="J65" i="2"/>
  <c r="K65" i="2" s="1"/>
  <c r="L65" i="2" s="1"/>
  <c r="J66" i="2"/>
  <c r="K66" i="2" s="1"/>
  <c r="M66" i="2" s="1"/>
  <c r="J67" i="2"/>
  <c r="K67" i="2" s="1"/>
  <c r="L67" i="2" s="1"/>
  <c r="J68" i="2"/>
  <c r="K68" i="2" s="1"/>
  <c r="P68" i="2" s="1"/>
  <c r="J69" i="2"/>
  <c r="K69" i="2" s="1"/>
  <c r="L69" i="2" s="1"/>
  <c r="J70" i="2"/>
  <c r="K70" i="2" s="1"/>
  <c r="M70" i="2" s="1"/>
  <c r="J71" i="2"/>
  <c r="K71" i="2" s="1"/>
  <c r="Q71" i="2" s="1"/>
  <c r="J72" i="2"/>
  <c r="K72" i="2" s="1"/>
  <c r="L72" i="2" s="1"/>
  <c r="J73" i="2"/>
  <c r="K73" i="2" s="1"/>
  <c r="N73" i="2" s="1"/>
  <c r="J74" i="2"/>
  <c r="K74" i="2" s="1"/>
  <c r="L74" i="2" s="1"/>
  <c r="J75" i="2"/>
  <c r="K75" i="2" s="1"/>
  <c r="L75" i="2" s="1"/>
  <c r="J76" i="2"/>
  <c r="K76" i="2" s="1"/>
  <c r="P76" i="2" s="1"/>
  <c r="J77" i="2"/>
  <c r="K77" i="2" s="1"/>
  <c r="J78" i="2"/>
  <c r="K78" i="2" s="1"/>
  <c r="M78" i="2" s="1"/>
  <c r="J79" i="2"/>
  <c r="K79" i="2" s="1"/>
  <c r="L79" i="2" s="1"/>
  <c r="J80" i="2"/>
  <c r="K80" i="2" s="1"/>
  <c r="P80" i="2" s="1"/>
  <c r="J81" i="2"/>
  <c r="K81" i="2" s="1"/>
  <c r="L81" i="2" s="1"/>
  <c r="J46" i="2"/>
  <c r="K46" i="2" s="1"/>
  <c r="L46" i="2" s="1"/>
  <c r="J47" i="2"/>
  <c r="K47" i="2" s="1"/>
  <c r="P47" i="2" s="1"/>
  <c r="J48" i="2"/>
  <c r="K48" i="2" s="1"/>
  <c r="L48" i="2" s="1"/>
  <c r="J49" i="2"/>
  <c r="K49" i="2" s="1"/>
  <c r="L49" i="2" s="1"/>
  <c r="J50" i="2"/>
  <c r="K50" i="2" s="1"/>
  <c r="Q50" i="2" s="1"/>
  <c r="J51" i="2"/>
  <c r="K51" i="2" s="1"/>
  <c r="L51" i="2" s="1"/>
  <c r="J52" i="2"/>
  <c r="K52" i="2" s="1"/>
  <c r="Q52" i="2" s="1"/>
  <c r="J53" i="2"/>
  <c r="K53" i="2" s="1"/>
  <c r="Q53" i="2" s="1"/>
  <c r="J54" i="2"/>
  <c r="K54" i="2" s="1"/>
  <c r="L54" i="2" s="1"/>
  <c r="J55" i="2"/>
  <c r="K55" i="2" s="1"/>
  <c r="L55" i="2" s="1"/>
  <c r="J56" i="2"/>
  <c r="K56" i="2" s="1"/>
  <c r="P56" i="2" s="1"/>
  <c r="J57" i="2"/>
  <c r="K57" i="2" s="1"/>
  <c r="L57" i="2" s="1"/>
  <c r="J58" i="2"/>
  <c r="K58" i="2" s="1"/>
  <c r="M58" i="2" s="1"/>
  <c r="F58" i="4" s="1"/>
  <c r="J59" i="2"/>
  <c r="K59" i="2" s="1"/>
  <c r="Q59" i="2" s="1"/>
  <c r="J60" i="2"/>
  <c r="K60" i="2" s="1"/>
  <c r="L60" i="2" s="1"/>
  <c r="J61" i="2"/>
  <c r="K61" i="2" s="1"/>
  <c r="N61" i="2" s="1"/>
  <c r="J62" i="2"/>
  <c r="K62" i="2" s="1"/>
  <c r="L62" i="2" s="1"/>
  <c r="J28" i="2"/>
  <c r="K28" i="2" s="1"/>
  <c r="P28" i="2" s="1"/>
  <c r="J29" i="2"/>
  <c r="K29" i="2" s="1"/>
  <c r="L29" i="2" s="1"/>
  <c r="J30" i="2"/>
  <c r="K30" i="2" s="1"/>
  <c r="Q30" i="2" s="1"/>
  <c r="J31" i="2"/>
  <c r="K31" i="2" s="1"/>
  <c r="Q31" i="2" s="1"/>
  <c r="J32" i="2"/>
  <c r="K32" i="2" s="1"/>
  <c r="L32" i="2" s="1"/>
  <c r="J33" i="2"/>
  <c r="K33" i="2" s="1"/>
  <c r="P33" i="2" s="1"/>
  <c r="J34" i="2"/>
  <c r="K34" i="2" s="1"/>
  <c r="L34" i="2" s="1"/>
  <c r="J35" i="2"/>
  <c r="K35" i="2" s="1"/>
  <c r="M35" i="2" s="1"/>
  <c r="J36" i="2"/>
  <c r="K36" i="2" s="1"/>
  <c r="Q36" i="2" s="1"/>
  <c r="J37" i="2"/>
  <c r="K37" i="2" s="1"/>
  <c r="L37" i="2" s="1"/>
  <c r="J38" i="2"/>
  <c r="K38" i="2" s="1"/>
  <c r="N38" i="2" s="1"/>
  <c r="J39" i="2"/>
  <c r="K39" i="2" s="1"/>
  <c r="L39" i="2" s="1"/>
  <c r="J40" i="2"/>
  <c r="K40" i="2" s="1"/>
  <c r="L40" i="2" s="1"/>
  <c r="J41" i="2"/>
  <c r="K41" i="2" s="1"/>
  <c r="P41" i="2" s="1"/>
  <c r="J42" i="2"/>
  <c r="K42" i="2" s="1"/>
  <c r="L42" i="2" s="1"/>
  <c r="J43" i="2"/>
  <c r="K43" i="2" s="1"/>
  <c r="M43" i="2" s="1"/>
  <c r="F43" i="4" s="1"/>
  <c r="J44" i="2"/>
  <c r="K44" i="2" s="1"/>
  <c r="Q44" i="2" s="1"/>
  <c r="J45" i="2"/>
  <c r="K45" i="2" s="1"/>
  <c r="L45" i="2" s="1"/>
  <c r="J19" i="2"/>
  <c r="K19" i="2" s="1"/>
  <c r="L19" i="2" s="1"/>
  <c r="J20" i="2"/>
  <c r="K20" i="2" s="1"/>
  <c r="P20" i="2" s="1"/>
  <c r="J21" i="2"/>
  <c r="K21" i="2" s="1"/>
  <c r="L21" i="2" s="1"/>
  <c r="J22" i="2"/>
  <c r="K22" i="2" s="1"/>
  <c r="M22" i="2" s="1"/>
  <c r="J23" i="2"/>
  <c r="K23" i="2" s="1"/>
  <c r="Q23" i="2" s="1"/>
  <c r="J24" i="2"/>
  <c r="K24" i="2" s="1"/>
  <c r="L24" i="2" s="1"/>
  <c r="J25" i="2"/>
  <c r="K25" i="2" s="1"/>
  <c r="N25" i="2" s="1"/>
  <c r="J26" i="2"/>
  <c r="K26" i="2" s="1"/>
  <c r="N26" i="2" s="1"/>
  <c r="J27" i="2"/>
  <c r="K27" i="2" s="1"/>
  <c r="L27" i="2" s="1"/>
  <c r="J3" i="2"/>
  <c r="K3" i="2" s="1"/>
  <c r="L3" i="2" s="1"/>
  <c r="E3" i="4" s="1"/>
  <c r="P4" i="2"/>
  <c r="J5" i="2"/>
  <c r="K5" i="2" s="1"/>
  <c r="L5" i="2" s="1"/>
  <c r="J6" i="2"/>
  <c r="K6" i="2" s="1"/>
  <c r="M6" i="2" s="1"/>
  <c r="J7" i="2"/>
  <c r="K7" i="2" s="1"/>
  <c r="Q7" i="2" s="1"/>
  <c r="J8" i="2"/>
  <c r="K8" i="2" s="1"/>
  <c r="L8" i="2" s="1"/>
  <c r="J9" i="2"/>
  <c r="K9" i="2" s="1"/>
  <c r="N9" i="2" s="1"/>
  <c r="J10" i="2"/>
  <c r="K10" i="2" s="1"/>
  <c r="L10" i="2" s="1"/>
  <c r="J11" i="2"/>
  <c r="K11" i="2" s="1"/>
  <c r="L11" i="2" s="1"/>
  <c r="E11" i="4" s="1"/>
  <c r="J12" i="2"/>
  <c r="K12" i="2" s="1"/>
  <c r="P12" i="2" s="1"/>
  <c r="J13" i="2"/>
  <c r="K13" i="2" s="1"/>
  <c r="L13" i="2" s="1"/>
  <c r="J14" i="2"/>
  <c r="K14" i="2" s="1"/>
  <c r="M14" i="2" s="1"/>
  <c r="J15" i="2"/>
  <c r="K15" i="2" s="1"/>
  <c r="Q15" i="2" s="1"/>
  <c r="J16" i="2"/>
  <c r="K16" i="2" s="1"/>
  <c r="L16" i="2" s="1"/>
  <c r="J17" i="2"/>
  <c r="K17" i="2" s="1"/>
  <c r="N17" i="2" s="1"/>
  <c r="J18" i="2"/>
  <c r="K18" i="2" s="1"/>
  <c r="L18" i="2" s="1"/>
  <c r="J2" i="2"/>
  <c r="K2" i="2" s="1"/>
  <c r="B4" i="5"/>
  <c r="H500" i="4"/>
  <c r="B500" i="4"/>
  <c r="A500" i="4"/>
  <c r="H499" i="4"/>
  <c r="B499" i="4"/>
  <c r="A499" i="4"/>
  <c r="H498" i="4"/>
  <c r="B498" i="4"/>
  <c r="A498" i="4"/>
  <c r="H497" i="4"/>
  <c r="B497" i="4"/>
  <c r="A497" i="4"/>
  <c r="H496" i="4"/>
  <c r="B496" i="4"/>
  <c r="A496" i="4"/>
  <c r="H495" i="4"/>
  <c r="B495" i="4"/>
  <c r="A495" i="4"/>
  <c r="H494" i="4"/>
  <c r="B494" i="4"/>
  <c r="A494" i="4"/>
  <c r="H493" i="4"/>
  <c r="B493" i="4"/>
  <c r="A493" i="4"/>
  <c r="H492" i="4"/>
  <c r="B492" i="4"/>
  <c r="A492" i="4"/>
  <c r="H491" i="4"/>
  <c r="B491" i="4"/>
  <c r="A491" i="4"/>
  <c r="H490" i="4"/>
  <c r="B490" i="4"/>
  <c r="A490" i="4"/>
  <c r="H489" i="4"/>
  <c r="B489" i="4"/>
  <c r="A489" i="4"/>
  <c r="H488" i="4"/>
  <c r="B488" i="4"/>
  <c r="A488" i="4"/>
  <c r="H487" i="4"/>
  <c r="B487" i="4"/>
  <c r="A487" i="4"/>
  <c r="H486" i="4"/>
  <c r="B486" i="4"/>
  <c r="A486" i="4"/>
  <c r="H485" i="4"/>
  <c r="B485" i="4"/>
  <c r="A485" i="4"/>
  <c r="H484" i="4"/>
  <c r="B484" i="4"/>
  <c r="A484" i="4"/>
  <c r="H483" i="4"/>
  <c r="B483" i="4"/>
  <c r="A483" i="4"/>
  <c r="H482" i="4"/>
  <c r="B482" i="4"/>
  <c r="A482" i="4"/>
  <c r="H481" i="4"/>
  <c r="B481" i="4"/>
  <c r="A481" i="4"/>
  <c r="H480" i="4"/>
  <c r="B480" i="4"/>
  <c r="A480" i="4"/>
  <c r="H479" i="4"/>
  <c r="B479" i="4"/>
  <c r="A479" i="4"/>
  <c r="H478" i="4"/>
  <c r="B478" i="4"/>
  <c r="A478" i="4"/>
  <c r="H477" i="4"/>
  <c r="B477" i="4"/>
  <c r="A477" i="4"/>
  <c r="H476" i="4"/>
  <c r="B476" i="4"/>
  <c r="A476" i="4"/>
  <c r="H475" i="4"/>
  <c r="B475" i="4"/>
  <c r="A475" i="4"/>
  <c r="H474" i="4"/>
  <c r="B474" i="4"/>
  <c r="A474" i="4"/>
  <c r="H473" i="4"/>
  <c r="B473" i="4"/>
  <c r="A473" i="4"/>
  <c r="H472" i="4"/>
  <c r="B472" i="4"/>
  <c r="A472" i="4"/>
  <c r="H471" i="4"/>
  <c r="B471" i="4"/>
  <c r="A471" i="4"/>
  <c r="H470" i="4"/>
  <c r="B470" i="4"/>
  <c r="A470" i="4"/>
  <c r="H469" i="4"/>
  <c r="B469" i="4"/>
  <c r="A469" i="4"/>
  <c r="H468" i="4"/>
  <c r="B468" i="4"/>
  <c r="A468" i="4"/>
  <c r="H467" i="4"/>
  <c r="B467" i="4"/>
  <c r="A467" i="4"/>
  <c r="H466" i="4"/>
  <c r="B466" i="4"/>
  <c r="A466" i="4"/>
  <c r="H465" i="4"/>
  <c r="B465" i="4"/>
  <c r="A465" i="4"/>
  <c r="H464" i="4"/>
  <c r="B464" i="4"/>
  <c r="A464" i="4"/>
  <c r="H463" i="4"/>
  <c r="B463" i="4"/>
  <c r="A463" i="4"/>
  <c r="H462" i="4"/>
  <c r="B462" i="4"/>
  <c r="A462" i="4"/>
  <c r="H461" i="4"/>
  <c r="B461" i="4"/>
  <c r="A461" i="4"/>
  <c r="H460" i="4"/>
  <c r="B460" i="4"/>
  <c r="A460" i="4"/>
  <c r="H459" i="4"/>
  <c r="B459" i="4"/>
  <c r="A459" i="4"/>
  <c r="H458" i="4"/>
  <c r="B458" i="4"/>
  <c r="A458" i="4"/>
  <c r="H457" i="4"/>
  <c r="B457" i="4"/>
  <c r="A457" i="4"/>
  <c r="H456" i="4"/>
  <c r="B456" i="4"/>
  <c r="A456" i="4"/>
  <c r="H455" i="4"/>
  <c r="B455" i="4"/>
  <c r="A455" i="4"/>
  <c r="H454" i="4"/>
  <c r="B454" i="4"/>
  <c r="A454" i="4"/>
  <c r="H453" i="4"/>
  <c r="B453" i="4"/>
  <c r="A453" i="4"/>
  <c r="H452" i="4"/>
  <c r="B452" i="4"/>
  <c r="A452" i="4"/>
  <c r="H451" i="4"/>
  <c r="B451" i="4"/>
  <c r="A451" i="4"/>
  <c r="H450" i="4"/>
  <c r="B450" i="4"/>
  <c r="A450" i="4"/>
  <c r="H449" i="4"/>
  <c r="B449" i="4"/>
  <c r="A449" i="4"/>
  <c r="H448" i="4"/>
  <c r="B448" i="4"/>
  <c r="A448" i="4"/>
  <c r="H447" i="4"/>
  <c r="B447" i="4"/>
  <c r="A447" i="4"/>
  <c r="H446" i="4"/>
  <c r="B446" i="4"/>
  <c r="A446" i="4"/>
  <c r="H445" i="4"/>
  <c r="B445" i="4"/>
  <c r="A445" i="4"/>
  <c r="H444" i="4"/>
  <c r="B444" i="4"/>
  <c r="A444" i="4"/>
  <c r="H443" i="4"/>
  <c r="B443" i="4"/>
  <c r="A443" i="4"/>
  <c r="H442" i="4"/>
  <c r="B442" i="4"/>
  <c r="A442" i="4"/>
  <c r="H441" i="4"/>
  <c r="B441" i="4"/>
  <c r="A441" i="4"/>
  <c r="H440" i="4"/>
  <c r="B440" i="4"/>
  <c r="A440" i="4"/>
  <c r="H439" i="4"/>
  <c r="B439" i="4"/>
  <c r="A439" i="4"/>
  <c r="H438" i="4"/>
  <c r="B438" i="4"/>
  <c r="A438" i="4"/>
  <c r="H437" i="4"/>
  <c r="B437" i="4"/>
  <c r="A437" i="4"/>
  <c r="H436" i="4"/>
  <c r="B436" i="4"/>
  <c r="A436" i="4"/>
  <c r="H435" i="4"/>
  <c r="B435" i="4"/>
  <c r="A435" i="4"/>
  <c r="H434" i="4"/>
  <c r="B434" i="4"/>
  <c r="A434" i="4"/>
  <c r="H433" i="4"/>
  <c r="B433" i="4"/>
  <c r="A433" i="4"/>
  <c r="H432" i="4"/>
  <c r="B432" i="4"/>
  <c r="A432" i="4"/>
  <c r="H431" i="4"/>
  <c r="B431" i="4"/>
  <c r="A431" i="4"/>
  <c r="H430" i="4"/>
  <c r="B430" i="4"/>
  <c r="A430" i="4"/>
  <c r="H429" i="4"/>
  <c r="B429" i="4"/>
  <c r="A429" i="4"/>
  <c r="H428" i="4"/>
  <c r="B428" i="4"/>
  <c r="A428" i="4"/>
  <c r="H427" i="4"/>
  <c r="B427" i="4"/>
  <c r="A427" i="4"/>
  <c r="H426" i="4"/>
  <c r="B426" i="4"/>
  <c r="A426" i="4"/>
  <c r="H425" i="4"/>
  <c r="B425" i="4"/>
  <c r="A425" i="4"/>
  <c r="H424" i="4"/>
  <c r="B424" i="4"/>
  <c r="A424" i="4"/>
  <c r="H423" i="4"/>
  <c r="B423" i="4"/>
  <c r="A423" i="4"/>
  <c r="H422" i="4"/>
  <c r="B422" i="4"/>
  <c r="A422" i="4"/>
  <c r="H421" i="4"/>
  <c r="B421" i="4"/>
  <c r="A421" i="4"/>
  <c r="H420" i="4"/>
  <c r="B420" i="4"/>
  <c r="A420" i="4"/>
  <c r="H419" i="4"/>
  <c r="B419" i="4"/>
  <c r="A419" i="4"/>
  <c r="H418" i="4"/>
  <c r="B418" i="4"/>
  <c r="A418" i="4"/>
  <c r="H417" i="4"/>
  <c r="B417" i="4"/>
  <c r="A417" i="4"/>
  <c r="H416" i="4"/>
  <c r="B416" i="4"/>
  <c r="A416" i="4"/>
  <c r="H415" i="4"/>
  <c r="B415" i="4"/>
  <c r="A415" i="4"/>
  <c r="H414" i="4"/>
  <c r="B414" i="4"/>
  <c r="A414" i="4"/>
  <c r="H413" i="4"/>
  <c r="B413" i="4"/>
  <c r="A413" i="4"/>
  <c r="H412" i="4"/>
  <c r="B412" i="4"/>
  <c r="A412" i="4"/>
  <c r="H411" i="4"/>
  <c r="B411" i="4"/>
  <c r="A411" i="4"/>
  <c r="H410" i="4"/>
  <c r="B410" i="4"/>
  <c r="A410" i="4"/>
  <c r="H409" i="4"/>
  <c r="B409" i="4"/>
  <c r="A409" i="4"/>
  <c r="H408" i="4"/>
  <c r="B408" i="4"/>
  <c r="A408" i="4"/>
  <c r="H407" i="4"/>
  <c r="B407" i="4"/>
  <c r="A407" i="4"/>
  <c r="H406" i="4"/>
  <c r="B406" i="4"/>
  <c r="A406" i="4"/>
  <c r="H405" i="4"/>
  <c r="B405" i="4"/>
  <c r="A405" i="4"/>
  <c r="H404" i="4"/>
  <c r="B404" i="4"/>
  <c r="A404" i="4"/>
  <c r="H403" i="4"/>
  <c r="B403" i="4"/>
  <c r="A403" i="4"/>
  <c r="H402" i="4"/>
  <c r="B402" i="4"/>
  <c r="A402" i="4"/>
  <c r="H401" i="4"/>
  <c r="B401" i="4"/>
  <c r="A401" i="4"/>
  <c r="H400" i="4"/>
  <c r="B400" i="4"/>
  <c r="A400" i="4"/>
  <c r="H399" i="4"/>
  <c r="B399" i="4"/>
  <c r="A399" i="4"/>
  <c r="H398" i="4"/>
  <c r="B398" i="4"/>
  <c r="A398" i="4"/>
  <c r="H397" i="4"/>
  <c r="B397" i="4"/>
  <c r="A397" i="4"/>
  <c r="H396" i="4"/>
  <c r="B396" i="4"/>
  <c r="A396" i="4"/>
  <c r="H395" i="4"/>
  <c r="B395" i="4"/>
  <c r="A395" i="4"/>
  <c r="H394" i="4"/>
  <c r="B394" i="4"/>
  <c r="A394" i="4"/>
  <c r="H393" i="4"/>
  <c r="B393" i="4"/>
  <c r="A393" i="4"/>
  <c r="H392" i="4"/>
  <c r="B392" i="4"/>
  <c r="A392" i="4"/>
  <c r="H391" i="4"/>
  <c r="B391" i="4"/>
  <c r="A391" i="4"/>
  <c r="H390" i="4"/>
  <c r="B390" i="4"/>
  <c r="A390" i="4"/>
  <c r="H389" i="4"/>
  <c r="B389" i="4"/>
  <c r="A389" i="4"/>
  <c r="H388" i="4"/>
  <c r="B388" i="4"/>
  <c r="A388" i="4"/>
  <c r="H387" i="4"/>
  <c r="B387" i="4"/>
  <c r="A387" i="4"/>
  <c r="H386" i="4"/>
  <c r="B386" i="4"/>
  <c r="A386" i="4"/>
  <c r="H385" i="4"/>
  <c r="B385" i="4"/>
  <c r="A385" i="4"/>
  <c r="H384" i="4"/>
  <c r="B384" i="4"/>
  <c r="A384" i="4"/>
  <c r="H383" i="4"/>
  <c r="B383" i="4"/>
  <c r="A383" i="4"/>
  <c r="H382" i="4"/>
  <c r="B382" i="4"/>
  <c r="A382" i="4"/>
  <c r="H381" i="4"/>
  <c r="B381" i="4"/>
  <c r="A381" i="4"/>
  <c r="H380" i="4"/>
  <c r="B380" i="4"/>
  <c r="A380" i="4"/>
  <c r="H379" i="4"/>
  <c r="B379" i="4"/>
  <c r="A379" i="4"/>
  <c r="H378" i="4"/>
  <c r="B378" i="4"/>
  <c r="A378" i="4"/>
  <c r="H377" i="4"/>
  <c r="B377" i="4"/>
  <c r="A377" i="4"/>
  <c r="H376" i="4"/>
  <c r="B376" i="4"/>
  <c r="A376" i="4"/>
  <c r="H375" i="4"/>
  <c r="B375" i="4"/>
  <c r="A375" i="4"/>
  <c r="H374" i="4"/>
  <c r="B374" i="4"/>
  <c r="A374" i="4"/>
  <c r="H373" i="4"/>
  <c r="B373" i="4"/>
  <c r="A373" i="4"/>
  <c r="H372" i="4"/>
  <c r="B372" i="4"/>
  <c r="A372" i="4"/>
  <c r="H371" i="4"/>
  <c r="B371" i="4"/>
  <c r="A371" i="4"/>
  <c r="H370" i="4"/>
  <c r="B370" i="4"/>
  <c r="A370" i="4"/>
  <c r="H369" i="4"/>
  <c r="B369" i="4"/>
  <c r="A369" i="4"/>
  <c r="H368" i="4"/>
  <c r="B368" i="4"/>
  <c r="A368" i="4"/>
  <c r="H367" i="4"/>
  <c r="B367" i="4"/>
  <c r="A367" i="4"/>
  <c r="H366" i="4"/>
  <c r="B366" i="4"/>
  <c r="A366" i="4"/>
  <c r="H365" i="4"/>
  <c r="B365" i="4"/>
  <c r="A365" i="4"/>
  <c r="H364" i="4"/>
  <c r="B364" i="4"/>
  <c r="A364" i="4"/>
  <c r="H363" i="4"/>
  <c r="B363" i="4"/>
  <c r="A363" i="4"/>
  <c r="H362" i="4"/>
  <c r="B362" i="4"/>
  <c r="A362" i="4"/>
  <c r="H361" i="4"/>
  <c r="B361" i="4"/>
  <c r="A361" i="4"/>
  <c r="H360" i="4"/>
  <c r="B360" i="4"/>
  <c r="A360" i="4"/>
  <c r="H359" i="4"/>
  <c r="B359" i="4"/>
  <c r="A359" i="4"/>
  <c r="H358" i="4"/>
  <c r="B358" i="4"/>
  <c r="A358" i="4"/>
  <c r="H357" i="4"/>
  <c r="B357" i="4"/>
  <c r="A357" i="4"/>
  <c r="H356" i="4"/>
  <c r="B356" i="4"/>
  <c r="A356" i="4"/>
  <c r="H355" i="4"/>
  <c r="B355" i="4"/>
  <c r="A355" i="4"/>
  <c r="H354" i="4"/>
  <c r="B354" i="4"/>
  <c r="A354" i="4"/>
  <c r="H353" i="4"/>
  <c r="B353" i="4"/>
  <c r="A353" i="4"/>
  <c r="H352" i="4"/>
  <c r="B352" i="4"/>
  <c r="A352" i="4"/>
  <c r="H351" i="4"/>
  <c r="B351" i="4"/>
  <c r="A351" i="4"/>
  <c r="H350" i="4"/>
  <c r="B350" i="4"/>
  <c r="A350" i="4"/>
  <c r="H349" i="4"/>
  <c r="B349" i="4"/>
  <c r="A349" i="4"/>
  <c r="H348" i="4"/>
  <c r="B348" i="4"/>
  <c r="A348" i="4"/>
  <c r="H347" i="4"/>
  <c r="B347" i="4"/>
  <c r="A347" i="4"/>
  <c r="H346" i="4"/>
  <c r="B346" i="4"/>
  <c r="A346" i="4"/>
  <c r="H345" i="4"/>
  <c r="B345" i="4"/>
  <c r="A345" i="4"/>
  <c r="H344" i="4"/>
  <c r="B344" i="4"/>
  <c r="A344" i="4"/>
  <c r="H343" i="4"/>
  <c r="B343" i="4"/>
  <c r="A343" i="4"/>
  <c r="H342" i="4"/>
  <c r="B342" i="4"/>
  <c r="A342" i="4"/>
  <c r="H341" i="4"/>
  <c r="B341" i="4"/>
  <c r="A341" i="4"/>
  <c r="H340" i="4"/>
  <c r="B340" i="4"/>
  <c r="A340" i="4"/>
  <c r="H339" i="4"/>
  <c r="B339" i="4"/>
  <c r="A339" i="4"/>
  <c r="H338" i="4"/>
  <c r="B338" i="4"/>
  <c r="A338" i="4"/>
  <c r="H337" i="4"/>
  <c r="B337" i="4"/>
  <c r="A337" i="4"/>
  <c r="H336" i="4"/>
  <c r="B336" i="4"/>
  <c r="A336" i="4"/>
  <c r="H335" i="4"/>
  <c r="B335" i="4"/>
  <c r="A335" i="4"/>
  <c r="H334" i="4"/>
  <c r="B334" i="4"/>
  <c r="A334" i="4"/>
  <c r="H333" i="4"/>
  <c r="B333" i="4"/>
  <c r="A333" i="4"/>
  <c r="H332" i="4"/>
  <c r="B332" i="4"/>
  <c r="A332" i="4"/>
  <c r="H331" i="4"/>
  <c r="B331" i="4"/>
  <c r="A331" i="4"/>
  <c r="H330" i="4"/>
  <c r="B330" i="4"/>
  <c r="A330" i="4"/>
  <c r="H329" i="4"/>
  <c r="B329" i="4"/>
  <c r="A329" i="4"/>
  <c r="H328" i="4"/>
  <c r="B328" i="4"/>
  <c r="A328" i="4"/>
  <c r="H327" i="4"/>
  <c r="B327" i="4"/>
  <c r="A327" i="4"/>
  <c r="H326" i="4"/>
  <c r="B326" i="4"/>
  <c r="A326" i="4"/>
  <c r="H325" i="4"/>
  <c r="B325" i="4"/>
  <c r="A325" i="4"/>
  <c r="H324" i="4"/>
  <c r="B324" i="4"/>
  <c r="A324" i="4"/>
  <c r="H323" i="4"/>
  <c r="B323" i="4"/>
  <c r="A323" i="4"/>
  <c r="H322" i="4"/>
  <c r="B322" i="4"/>
  <c r="A322" i="4"/>
  <c r="H321" i="4"/>
  <c r="B321" i="4"/>
  <c r="A321" i="4"/>
  <c r="H320" i="4"/>
  <c r="B320" i="4"/>
  <c r="A320" i="4"/>
  <c r="H319" i="4"/>
  <c r="B319" i="4"/>
  <c r="A319" i="4"/>
  <c r="H318" i="4"/>
  <c r="B318" i="4"/>
  <c r="A318" i="4"/>
  <c r="H317" i="4"/>
  <c r="B317" i="4"/>
  <c r="A317" i="4"/>
  <c r="H316" i="4"/>
  <c r="B316" i="4"/>
  <c r="A316" i="4"/>
  <c r="H315" i="4"/>
  <c r="B315" i="4"/>
  <c r="A315" i="4"/>
  <c r="H314" i="4"/>
  <c r="B314" i="4"/>
  <c r="A314" i="4"/>
  <c r="H313" i="4"/>
  <c r="B313" i="4"/>
  <c r="A313" i="4"/>
  <c r="H312" i="4"/>
  <c r="B312" i="4"/>
  <c r="A312" i="4"/>
  <c r="H311" i="4"/>
  <c r="B311" i="4"/>
  <c r="A311" i="4"/>
  <c r="H310" i="4"/>
  <c r="B310" i="4"/>
  <c r="A310" i="4"/>
  <c r="H309" i="4"/>
  <c r="B309" i="4"/>
  <c r="A309" i="4"/>
  <c r="H308" i="4"/>
  <c r="B308" i="4"/>
  <c r="A308" i="4"/>
  <c r="H307" i="4"/>
  <c r="B307" i="4"/>
  <c r="A307" i="4"/>
  <c r="H306" i="4"/>
  <c r="B306" i="4"/>
  <c r="A306" i="4"/>
  <c r="H305" i="4"/>
  <c r="B305" i="4"/>
  <c r="A305" i="4"/>
  <c r="H304" i="4"/>
  <c r="B304" i="4"/>
  <c r="A304" i="4"/>
  <c r="H303" i="4"/>
  <c r="B303" i="4"/>
  <c r="A303" i="4"/>
  <c r="H302" i="4"/>
  <c r="B302" i="4"/>
  <c r="A302" i="4"/>
  <c r="H301" i="4"/>
  <c r="B301" i="4"/>
  <c r="A301" i="4"/>
  <c r="H300" i="4"/>
  <c r="B300" i="4"/>
  <c r="A300" i="4"/>
  <c r="H299" i="4"/>
  <c r="B299" i="4"/>
  <c r="A299" i="4"/>
  <c r="H298" i="4"/>
  <c r="B298" i="4"/>
  <c r="A298" i="4"/>
  <c r="H297" i="4"/>
  <c r="B297" i="4"/>
  <c r="A297" i="4"/>
  <c r="H296" i="4"/>
  <c r="B296" i="4"/>
  <c r="A296" i="4"/>
  <c r="H295" i="4"/>
  <c r="B295" i="4"/>
  <c r="A295" i="4"/>
  <c r="H294" i="4"/>
  <c r="B294" i="4"/>
  <c r="A294" i="4"/>
  <c r="H293" i="4"/>
  <c r="B293" i="4"/>
  <c r="A293" i="4"/>
  <c r="H292" i="4"/>
  <c r="B292" i="4"/>
  <c r="A292" i="4"/>
  <c r="H291" i="4"/>
  <c r="B291" i="4"/>
  <c r="A291" i="4"/>
  <c r="H290" i="4"/>
  <c r="B290" i="4"/>
  <c r="A290" i="4"/>
  <c r="H289" i="4"/>
  <c r="B289" i="4"/>
  <c r="A289" i="4"/>
  <c r="H288" i="4"/>
  <c r="B288" i="4"/>
  <c r="A288" i="4"/>
  <c r="H287" i="4"/>
  <c r="B287" i="4"/>
  <c r="A287" i="4"/>
  <c r="H286" i="4"/>
  <c r="B286" i="4"/>
  <c r="A286" i="4"/>
  <c r="H285" i="4"/>
  <c r="B285" i="4"/>
  <c r="A285" i="4"/>
  <c r="H284" i="4"/>
  <c r="B284" i="4"/>
  <c r="A284" i="4"/>
  <c r="H283" i="4"/>
  <c r="B283" i="4"/>
  <c r="A283" i="4"/>
  <c r="H282" i="4"/>
  <c r="B282" i="4"/>
  <c r="A282" i="4"/>
  <c r="H281" i="4"/>
  <c r="B281" i="4"/>
  <c r="A281" i="4"/>
  <c r="H280" i="4"/>
  <c r="B280" i="4"/>
  <c r="A280" i="4"/>
  <c r="H279" i="4"/>
  <c r="B279" i="4"/>
  <c r="A279" i="4"/>
  <c r="H278" i="4"/>
  <c r="B278" i="4"/>
  <c r="A278" i="4"/>
  <c r="H277" i="4"/>
  <c r="B277" i="4"/>
  <c r="A277" i="4"/>
  <c r="H276" i="4"/>
  <c r="B276" i="4"/>
  <c r="A276" i="4"/>
  <c r="H275" i="4"/>
  <c r="B275" i="4"/>
  <c r="A275" i="4"/>
  <c r="H274" i="4"/>
  <c r="B274" i="4"/>
  <c r="A274" i="4"/>
  <c r="H273" i="4"/>
  <c r="B273" i="4"/>
  <c r="A273" i="4"/>
  <c r="H272" i="4"/>
  <c r="B272" i="4"/>
  <c r="A272" i="4"/>
  <c r="H271" i="4"/>
  <c r="B271" i="4"/>
  <c r="A271" i="4"/>
  <c r="H270" i="4"/>
  <c r="B270" i="4"/>
  <c r="A270" i="4"/>
  <c r="H269" i="4"/>
  <c r="B269" i="4"/>
  <c r="A269" i="4"/>
  <c r="H268" i="4"/>
  <c r="B268" i="4"/>
  <c r="A268" i="4"/>
  <c r="H267" i="4"/>
  <c r="B267" i="4"/>
  <c r="A267" i="4"/>
  <c r="H266" i="4"/>
  <c r="B266" i="4"/>
  <c r="A266" i="4"/>
  <c r="H265" i="4"/>
  <c r="B265" i="4"/>
  <c r="A265" i="4"/>
  <c r="H264" i="4"/>
  <c r="B264" i="4"/>
  <c r="A264" i="4"/>
  <c r="H263" i="4"/>
  <c r="B263" i="4"/>
  <c r="A263" i="4"/>
  <c r="H262" i="4"/>
  <c r="B262" i="4"/>
  <c r="A262" i="4"/>
  <c r="H261" i="4"/>
  <c r="B261" i="4"/>
  <c r="A261" i="4"/>
  <c r="H260" i="4"/>
  <c r="B260" i="4"/>
  <c r="A260" i="4"/>
  <c r="H259" i="4"/>
  <c r="B259" i="4"/>
  <c r="A259" i="4"/>
  <c r="H258" i="4"/>
  <c r="B258" i="4"/>
  <c r="A258" i="4"/>
  <c r="H257" i="4"/>
  <c r="B257" i="4"/>
  <c r="A257" i="4"/>
  <c r="H256" i="4"/>
  <c r="B256" i="4"/>
  <c r="A256" i="4"/>
  <c r="H255" i="4"/>
  <c r="B255" i="4"/>
  <c r="A255" i="4"/>
  <c r="H254" i="4"/>
  <c r="B254" i="4"/>
  <c r="A254" i="4"/>
  <c r="H253" i="4"/>
  <c r="B253" i="4"/>
  <c r="A253" i="4"/>
  <c r="H252" i="4"/>
  <c r="B252" i="4"/>
  <c r="A252" i="4"/>
  <c r="H251" i="4"/>
  <c r="B251" i="4"/>
  <c r="A251" i="4"/>
  <c r="H250" i="4"/>
  <c r="B250" i="4"/>
  <c r="A250" i="4"/>
  <c r="H249" i="4"/>
  <c r="B249" i="4"/>
  <c r="A249" i="4"/>
  <c r="H248" i="4"/>
  <c r="B248" i="4"/>
  <c r="A248" i="4"/>
  <c r="H247" i="4"/>
  <c r="B247" i="4"/>
  <c r="A247" i="4"/>
  <c r="H246" i="4"/>
  <c r="B246" i="4"/>
  <c r="A246" i="4"/>
  <c r="H245" i="4"/>
  <c r="B245" i="4"/>
  <c r="A245" i="4"/>
  <c r="H244" i="4"/>
  <c r="B244" i="4"/>
  <c r="A244" i="4"/>
  <c r="H243" i="4"/>
  <c r="B243" i="4"/>
  <c r="A243" i="4"/>
  <c r="H242" i="4"/>
  <c r="B242" i="4"/>
  <c r="A242" i="4"/>
  <c r="H241" i="4"/>
  <c r="B241" i="4"/>
  <c r="A241" i="4"/>
  <c r="H240" i="4"/>
  <c r="B240" i="4"/>
  <c r="A240" i="4"/>
  <c r="H239" i="4"/>
  <c r="B239" i="4"/>
  <c r="A239" i="4"/>
  <c r="H238" i="4"/>
  <c r="B238" i="4"/>
  <c r="A238" i="4"/>
  <c r="H237" i="4"/>
  <c r="B237" i="4"/>
  <c r="A237" i="4"/>
  <c r="H236" i="4"/>
  <c r="B236" i="4"/>
  <c r="A236" i="4"/>
  <c r="H235" i="4"/>
  <c r="B235" i="4"/>
  <c r="A235" i="4"/>
  <c r="H234" i="4"/>
  <c r="B234" i="4"/>
  <c r="A234" i="4"/>
  <c r="H233" i="4"/>
  <c r="B233" i="4"/>
  <c r="A233" i="4"/>
  <c r="H232" i="4"/>
  <c r="B232" i="4"/>
  <c r="A232" i="4"/>
  <c r="H231" i="4"/>
  <c r="B231" i="4"/>
  <c r="A231" i="4"/>
  <c r="H230" i="4"/>
  <c r="B230" i="4"/>
  <c r="A230" i="4"/>
  <c r="H229" i="4"/>
  <c r="B229" i="4"/>
  <c r="A229" i="4"/>
  <c r="H228" i="4"/>
  <c r="B228" i="4"/>
  <c r="A228" i="4"/>
  <c r="H227" i="4"/>
  <c r="B227" i="4"/>
  <c r="A227" i="4"/>
  <c r="H226" i="4"/>
  <c r="B226" i="4"/>
  <c r="A226" i="4"/>
  <c r="H225" i="4"/>
  <c r="B225" i="4"/>
  <c r="A225" i="4"/>
  <c r="H224" i="4"/>
  <c r="B224" i="4"/>
  <c r="A224" i="4"/>
  <c r="H223" i="4"/>
  <c r="B223" i="4"/>
  <c r="A223" i="4"/>
  <c r="H222" i="4"/>
  <c r="B222" i="4"/>
  <c r="A222" i="4"/>
  <c r="H221" i="4"/>
  <c r="B221" i="4"/>
  <c r="A221" i="4"/>
  <c r="H220" i="4"/>
  <c r="B220" i="4"/>
  <c r="A220" i="4"/>
  <c r="H219" i="4"/>
  <c r="B219" i="4"/>
  <c r="A219" i="4"/>
  <c r="H218" i="4"/>
  <c r="B218" i="4"/>
  <c r="A218" i="4"/>
  <c r="H217" i="4"/>
  <c r="B217" i="4"/>
  <c r="A217" i="4"/>
  <c r="H216" i="4"/>
  <c r="B216" i="4"/>
  <c r="A216" i="4"/>
  <c r="H215" i="4"/>
  <c r="B215" i="4"/>
  <c r="A215" i="4"/>
  <c r="H214" i="4"/>
  <c r="B214" i="4"/>
  <c r="A214" i="4"/>
  <c r="H213" i="4"/>
  <c r="B213" i="4"/>
  <c r="A213" i="4"/>
  <c r="H212" i="4"/>
  <c r="B212" i="4"/>
  <c r="A212" i="4"/>
  <c r="H211" i="4"/>
  <c r="B211" i="4"/>
  <c r="A211" i="4"/>
  <c r="H210" i="4"/>
  <c r="B210" i="4"/>
  <c r="A210" i="4"/>
  <c r="H209" i="4"/>
  <c r="B209" i="4"/>
  <c r="A209" i="4"/>
  <c r="H208" i="4"/>
  <c r="B208" i="4"/>
  <c r="A208" i="4"/>
  <c r="H207" i="4"/>
  <c r="B207" i="4"/>
  <c r="A207" i="4"/>
  <c r="H206" i="4"/>
  <c r="B206" i="4"/>
  <c r="A206" i="4"/>
  <c r="H205" i="4"/>
  <c r="B205" i="4"/>
  <c r="A205" i="4"/>
  <c r="H204" i="4"/>
  <c r="B204" i="4"/>
  <c r="A204" i="4"/>
  <c r="H203" i="4"/>
  <c r="B203" i="4"/>
  <c r="A203" i="4"/>
  <c r="H202" i="4"/>
  <c r="B202" i="4"/>
  <c r="A202" i="4"/>
  <c r="H201" i="4"/>
  <c r="B201" i="4"/>
  <c r="A201" i="4"/>
  <c r="H200" i="4"/>
  <c r="B200" i="4"/>
  <c r="A200" i="4"/>
  <c r="H199" i="4"/>
  <c r="B199" i="4"/>
  <c r="A199" i="4"/>
  <c r="H198" i="4"/>
  <c r="B198" i="4"/>
  <c r="A198" i="4"/>
  <c r="H197" i="4"/>
  <c r="B197" i="4"/>
  <c r="A197" i="4"/>
  <c r="H196" i="4"/>
  <c r="B196" i="4"/>
  <c r="A196" i="4"/>
  <c r="H195" i="4"/>
  <c r="B195" i="4"/>
  <c r="A195" i="4"/>
  <c r="H194" i="4"/>
  <c r="B194" i="4"/>
  <c r="A194" i="4"/>
  <c r="H193" i="4"/>
  <c r="B193" i="4"/>
  <c r="A193" i="4"/>
  <c r="H192" i="4"/>
  <c r="B192" i="4"/>
  <c r="A192" i="4"/>
  <c r="H191" i="4"/>
  <c r="B191" i="4"/>
  <c r="A191" i="4"/>
  <c r="H190" i="4"/>
  <c r="B190" i="4"/>
  <c r="A190" i="4"/>
  <c r="H189" i="4"/>
  <c r="B189" i="4"/>
  <c r="A189" i="4"/>
  <c r="H188" i="4"/>
  <c r="B188" i="4"/>
  <c r="A188" i="4"/>
  <c r="H187" i="4"/>
  <c r="B187" i="4"/>
  <c r="A187" i="4"/>
  <c r="H186" i="4"/>
  <c r="B186" i="4"/>
  <c r="A186" i="4"/>
  <c r="H185" i="4"/>
  <c r="B185" i="4"/>
  <c r="A185" i="4"/>
  <c r="H184" i="4"/>
  <c r="B184" i="4"/>
  <c r="A184" i="4"/>
  <c r="H183" i="4"/>
  <c r="B183" i="4"/>
  <c r="A183" i="4"/>
  <c r="H182" i="4"/>
  <c r="B182" i="4"/>
  <c r="A182" i="4"/>
  <c r="H181" i="4"/>
  <c r="B181" i="4"/>
  <c r="A181" i="4"/>
  <c r="H180" i="4"/>
  <c r="B180" i="4"/>
  <c r="A180" i="4"/>
  <c r="H179" i="4"/>
  <c r="B179" i="4"/>
  <c r="A179" i="4"/>
  <c r="H178" i="4"/>
  <c r="B178" i="4"/>
  <c r="A178" i="4"/>
  <c r="H177" i="4"/>
  <c r="B177" i="4"/>
  <c r="A177" i="4"/>
  <c r="H176" i="4"/>
  <c r="B176" i="4"/>
  <c r="A176" i="4"/>
  <c r="H175" i="4"/>
  <c r="B175" i="4"/>
  <c r="A175" i="4"/>
  <c r="H174" i="4"/>
  <c r="B174" i="4"/>
  <c r="A174" i="4"/>
  <c r="H173" i="4"/>
  <c r="B173" i="4"/>
  <c r="A173" i="4"/>
  <c r="H172" i="4"/>
  <c r="B172" i="4"/>
  <c r="A172" i="4"/>
  <c r="H171" i="4"/>
  <c r="B171" i="4"/>
  <c r="A171" i="4"/>
  <c r="H170" i="4"/>
  <c r="B170" i="4"/>
  <c r="A170" i="4"/>
  <c r="H169" i="4"/>
  <c r="B169" i="4"/>
  <c r="A169" i="4"/>
  <c r="H168" i="4"/>
  <c r="B168" i="4"/>
  <c r="A168" i="4"/>
  <c r="H167" i="4"/>
  <c r="B167" i="4"/>
  <c r="A167" i="4"/>
  <c r="H166" i="4"/>
  <c r="B166" i="4"/>
  <c r="A166" i="4"/>
  <c r="H165" i="4"/>
  <c r="B165" i="4"/>
  <c r="A165" i="4"/>
  <c r="H164" i="4"/>
  <c r="B164" i="4"/>
  <c r="A164" i="4"/>
  <c r="H163" i="4"/>
  <c r="B163" i="4"/>
  <c r="A163" i="4"/>
  <c r="H162" i="4"/>
  <c r="B162" i="4"/>
  <c r="A162" i="4"/>
  <c r="H161" i="4"/>
  <c r="B161" i="4"/>
  <c r="A161" i="4"/>
  <c r="H160" i="4"/>
  <c r="B160" i="4"/>
  <c r="A160" i="4"/>
  <c r="H159" i="4"/>
  <c r="B159" i="4"/>
  <c r="A159" i="4"/>
  <c r="H158" i="4"/>
  <c r="B158" i="4"/>
  <c r="A158" i="4"/>
  <c r="H157" i="4"/>
  <c r="B157" i="4"/>
  <c r="A157" i="4"/>
  <c r="H156" i="4"/>
  <c r="B156" i="4"/>
  <c r="A156" i="4"/>
  <c r="H155" i="4"/>
  <c r="B155" i="4"/>
  <c r="A155" i="4"/>
  <c r="H154" i="4"/>
  <c r="B154" i="4"/>
  <c r="A154" i="4"/>
  <c r="H153" i="4"/>
  <c r="B153" i="4"/>
  <c r="A153" i="4"/>
  <c r="H152" i="4"/>
  <c r="B152" i="4"/>
  <c r="A152" i="4"/>
  <c r="H151" i="4"/>
  <c r="B151" i="4"/>
  <c r="A151" i="4"/>
  <c r="H150" i="4"/>
  <c r="B150" i="4"/>
  <c r="A150" i="4"/>
  <c r="H149" i="4"/>
  <c r="B149" i="4"/>
  <c r="A149" i="4"/>
  <c r="H148" i="4"/>
  <c r="B148" i="4"/>
  <c r="A148" i="4"/>
  <c r="H147" i="4"/>
  <c r="B147" i="4"/>
  <c r="A147" i="4"/>
  <c r="H146" i="4"/>
  <c r="B146" i="4"/>
  <c r="A146" i="4"/>
  <c r="H145" i="4"/>
  <c r="B145" i="4"/>
  <c r="A145" i="4"/>
  <c r="H144" i="4"/>
  <c r="B144" i="4"/>
  <c r="A144" i="4"/>
  <c r="H143" i="4"/>
  <c r="B143" i="4"/>
  <c r="A143" i="4"/>
  <c r="H142" i="4"/>
  <c r="B142" i="4"/>
  <c r="A142" i="4"/>
  <c r="H141" i="4"/>
  <c r="B141" i="4"/>
  <c r="A141" i="4"/>
  <c r="H140" i="4"/>
  <c r="B140" i="4"/>
  <c r="A140" i="4"/>
  <c r="H139" i="4"/>
  <c r="B139" i="4"/>
  <c r="A139" i="4"/>
  <c r="H138" i="4"/>
  <c r="B138" i="4"/>
  <c r="A138" i="4"/>
  <c r="H137" i="4"/>
  <c r="B137" i="4"/>
  <c r="A137" i="4"/>
  <c r="H136" i="4"/>
  <c r="B136" i="4"/>
  <c r="A136" i="4"/>
  <c r="H135" i="4"/>
  <c r="B135" i="4"/>
  <c r="A135" i="4"/>
  <c r="H134" i="4"/>
  <c r="B134" i="4"/>
  <c r="A134" i="4"/>
  <c r="H133" i="4"/>
  <c r="B133" i="4"/>
  <c r="A133" i="4"/>
  <c r="H132" i="4"/>
  <c r="B132" i="4"/>
  <c r="A132" i="4"/>
  <c r="H131" i="4"/>
  <c r="B131" i="4"/>
  <c r="A131" i="4"/>
  <c r="H130" i="4"/>
  <c r="B130" i="4"/>
  <c r="A130" i="4"/>
  <c r="H129" i="4"/>
  <c r="B129" i="4"/>
  <c r="A129" i="4"/>
  <c r="H128" i="4"/>
  <c r="B128" i="4"/>
  <c r="A128" i="4"/>
  <c r="H127" i="4"/>
  <c r="B127" i="4"/>
  <c r="A127" i="4"/>
  <c r="H126" i="4"/>
  <c r="B126" i="4"/>
  <c r="A126" i="4"/>
  <c r="H125" i="4"/>
  <c r="B125" i="4"/>
  <c r="A125" i="4"/>
  <c r="H124" i="4"/>
  <c r="B124" i="4"/>
  <c r="A124" i="4"/>
  <c r="H123" i="4"/>
  <c r="B123" i="4"/>
  <c r="A123" i="4"/>
  <c r="H122" i="4"/>
  <c r="B122" i="4"/>
  <c r="A122" i="4"/>
  <c r="H121" i="4"/>
  <c r="B121" i="4"/>
  <c r="A121" i="4"/>
  <c r="H120" i="4"/>
  <c r="B120" i="4"/>
  <c r="A120" i="4"/>
  <c r="H119" i="4"/>
  <c r="B119" i="4"/>
  <c r="A119" i="4"/>
  <c r="H118" i="4"/>
  <c r="B118" i="4"/>
  <c r="A118" i="4"/>
  <c r="H117" i="4"/>
  <c r="B117" i="4"/>
  <c r="A117" i="4"/>
  <c r="H116" i="4"/>
  <c r="B116" i="4"/>
  <c r="A116" i="4"/>
  <c r="H115" i="4"/>
  <c r="B115" i="4"/>
  <c r="A115" i="4"/>
  <c r="H114" i="4"/>
  <c r="B114" i="4"/>
  <c r="A114" i="4"/>
  <c r="H113" i="4"/>
  <c r="B113" i="4"/>
  <c r="A113" i="4"/>
  <c r="H112" i="4"/>
  <c r="B112" i="4"/>
  <c r="A112" i="4"/>
  <c r="H111" i="4"/>
  <c r="B111" i="4"/>
  <c r="A111" i="4"/>
  <c r="H110" i="4"/>
  <c r="B110" i="4"/>
  <c r="A110" i="4"/>
  <c r="H109" i="4"/>
  <c r="B109" i="4"/>
  <c r="A109" i="4"/>
  <c r="H108" i="4"/>
  <c r="B108" i="4"/>
  <c r="A108" i="4"/>
  <c r="H107" i="4"/>
  <c r="B107" i="4"/>
  <c r="A107" i="4"/>
  <c r="H106" i="4"/>
  <c r="B106" i="4"/>
  <c r="A106" i="4"/>
  <c r="H105" i="4"/>
  <c r="B105" i="4"/>
  <c r="A105" i="4"/>
  <c r="H104" i="4"/>
  <c r="B104" i="4"/>
  <c r="A104" i="4"/>
  <c r="H103" i="4"/>
  <c r="B103" i="4"/>
  <c r="A103" i="4"/>
  <c r="H102" i="4"/>
  <c r="B102" i="4"/>
  <c r="A102" i="4"/>
  <c r="H101" i="4"/>
  <c r="B101" i="4"/>
  <c r="A101" i="4"/>
  <c r="H100" i="4"/>
  <c r="B100" i="4"/>
  <c r="A100" i="4"/>
  <c r="H99" i="4"/>
  <c r="B99" i="4"/>
  <c r="A99" i="4"/>
  <c r="H98" i="4"/>
  <c r="B98" i="4"/>
  <c r="A98" i="4"/>
  <c r="H97" i="4"/>
  <c r="B97" i="4"/>
  <c r="A97" i="4"/>
  <c r="H96" i="4"/>
  <c r="B96" i="4"/>
  <c r="A96" i="4"/>
  <c r="H95" i="4"/>
  <c r="B95" i="4"/>
  <c r="A95" i="4"/>
  <c r="H94" i="4"/>
  <c r="B94" i="4"/>
  <c r="A94" i="4"/>
  <c r="H93" i="4"/>
  <c r="B93" i="4"/>
  <c r="A93" i="4"/>
  <c r="H92" i="4"/>
  <c r="B92" i="4"/>
  <c r="A92" i="4"/>
  <c r="H91" i="4"/>
  <c r="B91" i="4"/>
  <c r="A91" i="4"/>
  <c r="H90" i="4"/>
  <c r="B90" i="4"/>
  <c r="A90" i="4"/>
  <c r="H89" i="4"/>
  <c r="B89" i="4"/>
  <c r="A89" i="4"/>
  <c r="H88" i="4"/>
  <c r="B88" i="4"/>
  <c r="A88" i="4"/>
  <c r="H87" i="4"/>
  <c r="B87" i="4"/>
  <c r="A87" i="4"/>
  <c r="H86" i="4"/>
  <c r="B86" i="4"/>
  <c r="A86" i="4"/>
  <c r="H85" i="4"/>
  <c r="B85" i="4"/>
  <c r="A85" i="4"/>
  <c r="H84" i="4"/>
  <c r="B84" i="4"/>
  <c r="A84" i="4"/>
  <c r="H83" i="4"/>
  <c r="B83" i="4"/>
  <c r="A83" i="4"/>
  <c r="H82" i="4"/>
  <c r="B82" i="4"/>
  <c r="A82" i="4"/>
  <c r="H81" i="4"/>
  <c r="B81" i="4"/>
  <c r="A81" i="4"/>
  <c r="H80" i="4"/>
  <c r="B80" i="4"/>
  <c r="A80" i="4"/>
  <c r="H79" i="4"/>
  <c r="B79" i="4"/>
  <c r="A79" i="4"/>
  <c r="H78" i="4"/>
  <c r="B78" i="4"/>
  <c r="A78" i="4"/>
  <c r="H77" i="4"/>
  <c r="B77" i="4"/>
  <c r="A77" i="4"/>
  <c r="H76" i="4"/>
  <c r="B76" i="4"/>
  <c r="A76" i="4"/>
  <c r="H75" i="4"/>
  <c r="B75" i="4"/>
  <c r="A75" i="4"/>
  <c r="H74" i="4"/>
  <c r="B74" i="4"/>
  <c r="A74" i="4"/>
  <c r="H73" i="4"/>
  <c r="B73" i="4"/>
  <c r="A73" i="4"/>
  <c r="H72" i="4"/>
  <c r="B72" i="4"/>
  <c r="A72" i="4"/>
  <c r="H71" i="4"/>
  <c r="B71" i="4"/>
  <c r="A71" i="4"/>
  <c r="H70" i="4"/>
  <c r="B70" i="4"/>
  <c r="A70" i="4"/>
  <c r="H69" i="4"/>
  <c r="B69" i="4"/>
  <c r="A69" i="4"/>
  <c r="H68" i="4"/>
  <c r="B68" i="4"/>
  <c r="A68" i="4"/>
  <c r="H67" i="4"/>
  <c r="B67" i="4"/>
  <c r="A67" i="4"/>
  <c r="H66" i="4"/>
  <c r="B66" i="4"/>
  <c r="A66" i="4"/>
  <c r="H65" i="4"/>
  <c r="B65" i="4"/>
  <c r="A65" i="4"/>
  <c r="H64" i="4"/>
  <c r="B64" i="4"/>
  <c r="A64" i="4"/>
  <c r="H63" i="4"/>
  <c r="B63" i="4"/>
  <c r="A63" i="4"/>
  <c r="H62" i="4"/>
  <c r="B62" i="4"/>
  <c r="A62" i="4"/>
  <c r="H61" i="4"/>
  <c r="B61" i="4"/>
  <c r="A61" i="4"/>
  <c r="H60" i="4"/>
  <c r="B60" i="4"/>
  <c r="A60" i="4"/>
  <c r="H59" i="4"/>
  <c r="B59" i="4"/>
  <c r="A59" i="4"/>
  <c r="H58" i="4"/>
  <c r="B58" i="4"/>
  <c r="A58" i="4"/>
  <c r="H57" i="4"/>
  <c r="B57" i="4"/>
  <c r="A57" i="4"/>
  <c r="H56" i="4"/>
  <c r="B56" i="4"/>
  <c r="A56" i="4"/>
  <c r="H55" i="4"/>
  <c r="B55" i="4"/>
  <c r="A55" i="4"/>
  <c r="H54" i="4"/>
  <c r="B54" i="4"/>
  <c r="A54" i="4"/>
  <c r="H53" i="4"/>
  <c r="B53" i="4"/>
  <c r="A53" i="4"/>
  <c r="H52" i="4"/>
  <c r="B52" i="4"/>
  <c r="A52" i="4"/>
  <c r="H51" i="4"/>
  <c r="B51" i="4"/>
  <c r="A51" i="4"/>
  <c r="H50" i="4"/>
  <c r="B50" i="4"/>
  <c r="A50" i="4"/>
  <c r="H49" i="4"/>
  <c r="B49" i="4"/>
  <c r="A49" i="4"/>
  <c r="H48" i="4"/>
  <c r="B48" i="4"/>
  <c r="A48" i="4"/>
  <c r="H47" i="4"/>
  <c r="B47" i="4"/>
  <c r="A47" i="4"/>
  <c r="H46" i="4"/>
  <c r="B46" i="4"/>
  <c r="A46" i="4"/>
  <c r="H45" i="4"/>
  <c r="B45" i="4"/>
  <c r="A45" i="4"/>
  <c r="H44" i="4"/>
  <c r="B44" i="4"/>
  <c r="A44" i="4"/>
  <c r="H43" i="4"/>
  <c r="B43" i="4"/>
  <c r="A43" i="4"/>
  <c r="H42" i="4"/>
  <c r="B42" i="4"/>
  <c r="A42" i="4"/>
  <c r="H41" i="4"/>
  <c r="B41" i="4"/>
  <c r="A41" i="4"/>
  <c r="H40" i="4"/>
  <c r="B40" i="4"/>
  <c r="A40" i="4"/>
  <c r="H39" i="4"/>
  <c r="B39" i="4"/>
  <c r="A39" i="4"/>
  <c r="H38" i="4"/>
  <c r="B38" i="4"/>
  <c r="A38" i="4"/>
  <c r="H37" i="4"/>
  <c r="B37" i="4"/>
  <c r="A37" i="4"/>
  <c r="H36" i="4"/>
  <c r="B36" i="4"/>
  <c r="A36" i="4"/>
  <c r="H35" i="4"/>
  <c r="B35" i="4"/>
  <c r="A35" i="4"/>
  <c r="H34" i="4"/>
  <c r="B34" i="4"/>
  <c r="A34" i="4"/>
  <c r="H33" i="4"/>
  <c r="B33" i="4"/>
  <c r="A33" i="4"/>
  <c r="H32" i="4"/>
  <c r="B32" i="4"/>
  <c r="A32" i="4"/>
  <c r="H31" i="4"/>
  <c r="B31" i="4"/>
  <c r="A31" i="4"/>
  <c r="H30" i="4"/>
  <c r="B30" i="4"/>
  <c r="A30" i="4"/>
  <c r="H29" i="4"/>
  <c r="B29" i="4"/>
  <c r="A29" i="4"/>
  <c r="H28" i="4"/>
  <c r="B28" i="4"/>
  <c r="A28" i="4"/>
  <c r="H27" i="4"/>
  <c r="B27" i="4"/>
  <c r="A27" i="4"/>
  <c r="H26" i="4"/>
  <c r="B26" i="4"/>
  <c r="A26" i="4"/>
  <c r="H25" i="4"/>
  <c r="B25" i="4"/>
  <c r="A25" i="4"/>
  <c r="H24" i="4"/>
  <c r="B24" i="4"/>
  <c r="A24" i="4"/>
  <c r="H23" i="4"/>
  <c r="B23" i="4"/>
  <c r="A23" i="4"/>
  <c r="H22" i="4"/>
  <c r="B22" i="4"/>
  <c r="A22" i="4"/>
  <c r="H21" i="4"/>
  <c r="B21" i="4"/>
  <c r="A21" i="4"/>
  <c r="H20" i="4"/>
  <c r="B20" i="4"/>
  <c r="A20" i="4"/>
  <c r="H19" i="4"/>
  <c r="B19" i="4"/>
  <c r="A19" i="4"/>
  <c r="H18" i="4"/>
  <c r="B18" i="4"/>
  <c r="A18" i="4"/>
  <c r="H17" i="4"/>
  <c r="B17" i="4"/>
  <c r="A17" i="4"/>
  <c r="H16" i="4"/>
  <c r="B16" i="4"/>
  <c r="A16" i="4"/>
  <c r="H15" i="4"/>
  <c r="B15" i="4"/>
  <c r="A15" i="4"/>
  <c r="H14" i="4"/>
  <c r="B14" i="4"/>
  <c r="A14" i="4"/>
  <c r="H13" i="4"/>
  <c r="B13" i="4"/>
  <c r="A13" i="4"/>
  <c r="H12" i="4"/>
  <c r="B12" i="4"/>
  <c r="A12" i="4"/>
  <c r="H11" i="4"/>
  <c r="B11" i="4"/>
  <c r="A11" i="4"/>
  <c r="H10" i="4"/>
  <c r="B10" i="4"/>
  <c r="A10" i="4"/>
  <c r="H9" i="4"/>
  <c r="B9" i="4"/>
  <c r="A9" i="4"/>
  <c r="H8" i="4"/>
  <c r="B8" i="4"/>
  <c r="A8" i="4"/>
  <c r="H7" i="4"/>
  <c r="B7" i="4"/>
  <c r="A7" i="4"/>
  <c r="H6" i="4"/>
  <c r="B6" i="4"/>
  <c r="A6" i="4"/>
  <c r="H5" i="4"/>
  <c r="B5" i="4"/>
  <c r="A5" i="4"/>
  <c r="H4" i="4"/>
  <c r="B4" i="4"/>
  <c r="A4" i="4"/>
  <c r="H3" i="4"/>
  <c r="B3" i="4"/>
  <c r="A3" i="4"/>
  <c r="H2" i="4"/>
  <c r="B2" i="4"/>
  <c r="A2" i="4"/>
  <c r="F500" i="3"/>
  <c r="E500" i="3"/>
  <c r="D500" i="3"/>
  <c r="C500" i="3"/>
  <c r="B500" i="3"/>
  <c r="A500" i="3"/>
  <c r="F499" i="3"/>
  <c r="E499" i="3"/>
  <c r="D499" i="3"/>
  <c r="C499" i="3"/>
  <c r="B499" i="3"/>
  <c r="A499" i="3"/>
  <c r="F498" i="3"/>
  <c r="E498" i="3"/>
  <c r="D498" i="3"/>
  <c r="C498" i="3"/>
  <c r="B498" i="3"/>
  <c r="A498" i="3"/>
  <c r="F497" i="3"/>
  <c r="E497" i="3"/>
  <c r="D497" i="3"/>
  <c r="C497" i="3"/>
  <c r="B497" i="3"/>
  <c r="A497" i="3"/>
  <c r="F496" i="3"/>
  <c r="E496" i="3"/>
  <c r="D496" i="3"/>
  <c r="C496" i="3"/>
  <c r="B496" i="3"/>
  <c r="A496" i="3"/>
  <c r="F495" i="3"/>
  <c r="E495" i="3"/>
  <c r="D495" i="3"/>
  <c r="C495" i="3"/>
  <c r="B495" i="3"/>
  <c r="A495" i="3"/>
  <c r="F494" i="3"/>
  <c r="E494" i="3"/>
  <c r="D494" i="3"/>
  <c r="C494" i="3"/>
  <c r="B494" i="3"/>
  <c r="A494" i="3"/>
  <c r="F493" i="3"/>
  <c r="E493" i="3"/>
  <c r="D493" i="3"/>
  <c r="C493" i="3"/>
  <c r="B493" i="3"/>
  <c r="A493" i="3"/>
  <c r="F492" i="3"/>
  <c r="E492" i="3"/>
  <c r="D492" i="3"/>
  <c r="C492" i="3"/>
  <c r="B492" i="3"/>
  <c r="A492" i="3"/>
  <c r="F491" i="3"/>
  <c r="E491" i="3"/>
  <c r="D491" i="3"/>
  <c r="C491" i="3"/>
  <c r="B491" i="3"/>
  <c r="A491" i="3"/>
  <c r="F490" i="3"/>
  <c r="E490" i="3"/>
  <c r="D490" i="3"/>
  <c r="C490" i="3"/>
  <c r="B490" i="3"/>
  <c r="A490" i="3"/>
  <c r="F489" i="3"/>
  <c r="E489" i="3"/>
  <c r="D489" i="3"/>
  <c r="C489" i="3"/>
  <c r="B489" i="3"/>
  <c r="A489" i="3"/>
  <c r="F488" i="3"/>
  <c r="E488" i="3"/>
  <c r="D488" i="3"/>
  <c r="C488" i="3"/>
  <c r="B488" i="3"/>
  <c r="A488" i="3"/>
  <c r="F487" i="3"/>
  <c r="E487" i="3"/>
  <c r="D487" i="3"/>
  <c r="C487" i="3"/>
  <c r="B487" i="3"/>
  <c r="A487" i="3"/>
  <c r="F486" i="3"/>
  <c r="E486" i="3"/>
  <c r="D486" i="3"/>
  <c r="C486" i="3"/>
  <c r="B486" i="3"/>
  <c r="A486" i="3"/>
  <c r="F485" i="3"/>
  <c r="E485" i="3"/>
  <c r="D485" i="3"/>
  <c r="C485" i="3"/>
  <c r="B485" i="3"/>
  <c r="A485" i="3"/>
  <c r="F484" i="3"/>
  <c r="E484" i="3"/>
  <c r="D484" i="3"/>
  <c r="C484" i="3"/>
  <c r="B484" i="3"/>
  <c r="A484" i="3"/>
  <c r="F483" i="3"/>
  <c r="E483" i="3"/>
  <c r="D483" i="3"/>
  <c r="C483" i="3"/>
  <c r="B483" i="3"/>
  <c r="A483" i="3"/>
  <c r="F482" i="3"/>
  <c r="E482" i="3"/>
  <c r="D482" i="3"/>
  <c r="C482" i="3"/>
  <c r="B482" i="3"/>
  <c r="A482" i="3"/>
  <c r="F481" i="3"/>
  <c r="E481" i="3"/>
  <c r="D481" i="3"/>
  <c r="C481" i="3"/>
  <c r="B481" i="3"/>
  <c r="A481" i="3"/>
  <c r="F480" i="3"/>
  <c r="E480" i="3"/>
  <c r="D480" i="3"/>
  <c r="C480" i="3"/>
  <c r="B480" i="3"/>
  <c r="A480" i="3"/>
  <c r="F479" i="3"/>
  <c r="E479" i="3"/>
  <c r="D479" i="3"/>
  <c r="C479" i="3"/>
  <c r="B479" i="3"/>
  <c r="A479" i="3"/>
  <c r="F478" i="3"/>
  <c r="E478" i="3"/>
  <c r="D478" i="3"/>
  <c r="C478" i="3"/>
  <c r="B478" i="3"/>
  <c r="A478" i="3"/>
  <c r="F477" i="3"/>
  <c r="E477" i="3"/>
  <c r="D477" i="3"/>
  <c r="C477" i="3"/>
  <c r="B477" i="3"/>
  <c r="A477" i="3"/>
  <c r="F476" i="3"/>
  <c r="E476" i="3"/>
  <c r="D476" i="3"/>
  <c r="C476" i="3"/>
  <c r="B476" i="3"/>
  <c r="A476" i="3"/>
  <c r="F475" i="3"/>
  <c r="E475" i="3"/>
  <c r="D475" i="3"/>
  <c r="C475" i="3"/>
  <c r="B475" i="3"/>
  <c r="A475" i="3"/>
  <c r="F474" i="3"/>
  <c r="E474" i="3"/>
  <c r="D474" i="3"/>
  <c r="C474" i="3"/>
  <c r="B474" i="3"/>
  <c r="A474" i="3"/>
  <c r="F473" i="3"/>
  <c r="E473" i="3"/>
  <c r="D473" i="3"/>
  <c r="C473" i="3"/>
  <c r="B473" i="3"/>
  <c r="A473" i="3"/>
  <c r="F472" i="3"/>
  <c r="E472" i="3"/>
  <c r="D472" i="3"/>
  <c r="C472" i="3"/>
  <c r="B472" i="3"/>
  <c r="A472" i="3"/>
  <c r="F471" i="3"/>
  <c r="E471" i="3"/>
  <c r="D471" i="3"/>
  <c r="C471" i="3"/>
  <c r="B471" i="3"/>
  <c r="A471" i="3"/>
  <c r="F470" i="3"/>
  <c r="E470" i="3"/>
  <c r="D470" i="3"/>
  <c r="C470" i="3"/>
  <c r="B470" i="3"/>
  <c r="A470" i="3"/>
  <c r="F469" i="3"/>
  <c r="E469" i="3"/>
  <c r="D469" i="3"/>
  <c r="C469" i="3"/>
  <c r="B469" i="3"/>
  <c r="A469" i="3"/>
  <c r="F468" i="3"/>
  <c r="E468" i="3"/>
  <c r="D468" i="3"/>
  <c r="C468" i="3"/>
  <c r="B468" i="3"/>
  <c r="A468" i="3"/>
  <c r="F467" i="3"/>
  <c r="E467" i="3"/>
  <c r="D467" i="3"/>
  <c r="C467" i="3"/>
  <c r="B467" i="3"/>
  <c r="A467" i="3"/>
  <c r="F466" i="3"/>
  <c r="E466" i="3"/>
  <c r="D466" i="3"/>
  <c r="C466" i="3"/>
  <c r="B466" i="3"/>
  <c r="A466" i="3"/>
  <c r="F465" i="3"/>
  <c r="E465" i="3"/>
  <c r="D465" i="3"/>
  <c r="C465" i="3"/>
  <c r="B465" i="3"/>
  <c r="A465" i="3"/>
  <c r="F464" i="3"/>
  <c r="E464" i="3"/>
  <c r="D464" i="3"/>
  <c r="C464" i="3"/>
  <c r="B464" i="3"/>
  <c r="A464" i="3"/>
  <c r="F463" i="3"/>
  <c r="E463" i="3"/>
  <c r="D463" i="3"/>
  <c r="C463" i="3"/>
  <c r="B463" i="3"/>
  <c r="A463" i="3"/>
  <c r="F462" i="3"/>
  <c r="E462" i="3"/>
  <c r="D462" i="3"/>
  <c r="C462" i="3"/>
  <c r="B462" i="3"/>
  <c r="A462" i="3"/>
  <c r="F461" i="3"/>
  <c r="E461" i="3"/>
  <c r="D461" i="3"/>
  <c r="C461" i="3"/>
  <c r="B461" i="3"/>
  <c r="A461" i="3"/>
  <c r="F460" i="3"/>
  <c r="E460" i="3"/>
  <c r="D460" i="3"/>
  <c r="C460" i="3"/>
  <c r="B460" i="3"/>
  <c r="A460" i="3"/>
  <c r="F459" i="3"/>
  <c r="E459" i="3"/>
  <c r="D459" i="3"/>
  <c r="C459" i="3"/>
  <c r="B459" i="3"/>
  <c r="A459" i="3"/>
  <c r="F458" i="3"/>
  <c r="E458" i="3"/>
  <c r="D458" i="3"/>
  <c r="C458" i="3"/>
  <c r="B458" i="3"/>
  <c r="A458" i="3"/>
  <c r="F457" i="3"/>
  <c r="E457" i="3"/>
  <c r="D457" i="3"/>
  <c r="C457" i="3"/>
  <c r="B457" i="3"/>
  <c r="A457" i="3"/>
  <c r="F456" i="3"/>
  <c r="E456" i="3"/>
  <c r="D456" i="3"/>
  <c r="C456" i="3"/>
  <c r="B456" i="3"/>
  <c r="A456" i="3"/>
  <c r="F455" i="3"/>
  <c r="E455" i="3"/>
  <c r="D455" i="3"/>
  <c r="C455" i="3"/>
  <c r="B455" i="3"/>
  <c r="A455" i="3"/>
  <c r="F454" i="3"/>
  <c r="E454" i="3"/>
  <c r="D454" i="3"/>
  <c r="C454" i="3"/>
  <c r="B454" i="3"/>
  <c r="A454" i="3"/>
  <c r="F453" i="3"/>
  <c r="E453" i="3"/>
  <c r="D453" i="3"/>
  <c r="C453" i="3"/>
  <c r="B453" i="3"/>
  <c r="A453" i="3"/>
  <c r="F452" i="3"/>
  <c r="E452" i="3"/>
  <c r="D452" i="3"/>
  <c r="C452" i="3"/>
  <c r="B452" i="3"/>
  <c r="A452" i="3"/>
  <c r="F451" i="3"/>
  <c r="E451" i="3"/>
  <c r="D451" i="3"/>
  <c r="C451" i="3"/>
  <c r="B451" i="3"/>
  <c r="A451" i="3"/>
  <c r="F450" i="3"/>
  <c r="E450" i="3"/>
  <c r="D450" i="3"/>
  <c r="C450" i="3"/>
  <c r="B450" i="3"/>
  <c r="A450" i="3"/>
  <c r="F449" i="3"/>
  <c r="E449" i="3"/>
  <c r="D449" i="3"/>
  <c r="C449" i="3"/>
  <c r="B449" i="3"/>
  <c r="A449" i="3"/>
  <c r="F448" i="3"/>
  <c r="E448" i="3"/>
  <c r="D448" i="3"/>
  <c r="C448" i="3"/>
  <c r="B448" i="3"/>
  <c r="A448" i="3"/>
  <c r="F447" i="3"/>
  <c r="E447" i="3"/>
  <c r="D447" i="3"/>
  <c r="C447" i="3"/>
  <c r="B447" i="3"/>
  <c r="A447" i="3"/>
  <c r="F446" i="3"/>
  <c r="E446" i="3"/>
  <c r="D446" i="3"/>
  <c r="C446" i="3"/>
  <c r="B446" i="3"/>
  <c r="A446" i="3"/>
  <c r="F445" i="3"/>
  <c r="E445" i="3"/>
  <c r="D445" i="3"/>
  <c r="C445" i="3"/>
  <c r="B445" i="3"/>
  <c r="A445" i="3"/>
  <c r="F444" i="3"/>
  <c r="E444" i="3"/>
  <c r="D444" i="3"/>
  <c r="C444" i="3"/>
  <c r="B444" i="3"/>
  <c r="A444" i="3"/>
  <c r="F443" i="3"/>
  <c r="E443" i="3"/>
  <c r="D443" i="3"/>
  <c r="C443" i="3"/>
  <c r="B443" i="3"/>
  <c r="A443" i="3"/>
  <c r="F442" i="3"/>
  <c r="E442" i="3"/>
  <c r="D442" i="3"/>
  <c r="C442" i="3"/>
  <c r="B442" i="3"/>
  <c r="A442" i="3"/>
  <c r="F441" i="3"/>
  <c r="E441" i="3"/>
  <c r="D441" i="3"/>
  <c r="C441" i="3"/>
  <c r="B441" i="3"/>
  <c r="A441" i="3"/>
  <c r="F440" i="3"/>
  <c r="E440" i="3"/>
  <c r="D440" i="3"/>
  <c r="C440" i="3"/>
  <c r="B440" i="3"/>
  <c r="A440" i="3"/>
  <c r="F439" i="3"/>
  <c r="E439" i="3"/>
  <c r="D439" i="3"/>
  <c r="C439" i="3"/>
  <c r="B439" i="3"/>
  <c r="A439" i="3"/>
  <c r="F438" i="3"/>
  <c r="E438" i="3"/>
  <c r="D438" i="3"/>
  <c r="C438" i="3"/>
  <c r="B438" i="3"/>
  <c r="A438" i="3"/>
  <c r="F437" i="3"/>
  <c r="E437" i="3"/>
  <c r="D437" i="3"/>
  <c r="C437" i="3"/>
  <c r="B437" i="3"/>
  <c r="A437" i="3"/>
  <c r="F436" i="3"/>
  <c r="E436" i="3"/>
  <c r="D436" i="3"/>
  <c r="C436" i="3"/>
  <c r="B436" i="3"/>
  <c r="A436" i="3"/>
  <c r="F435" i="3"/>
  <c r="E435" i="3"/>
  <c r="D435" i="3"/>
  <c r="C435" i="3"/>
  <c r="B435" i="3"/>
  <c r="A435" i="3"/>
  <c r="F434" i="3"/>
  <c r="E434" i="3"/>
  <c r="D434" i="3"/>
  <c r="C434" i="3"/>
  <c r="B434" i="3"/>
  <c r="A434" i="3"/>
  <c r="F433" i="3"/>
  <c r="E433" i="3"/>
  <c r="D433" i="3"/>
  <c r="C433" i="3"/>
  <c r="B433" i="3"/>
  <c r="A433" i="3"/>
  <c r="F432" i="3"/>
  <c r="E432" i="3"/>
  <c r="D432" i="3"/>
  <c r="C432" i="3"/>
  <c r="B432" i="3"/>
  <c r="A432" i="3"/>
  <c r="F431" i="3"/>
  <c r="E431" i="3"/>
  <c r="D431" i="3"/>
  <c r="C431" i="3"/>
  <c r="B431" i="3"/>
  <c r="A431" i="3"/>
  <c r="F430" i="3"/>
  <c r="E430" i="3"/>
  <c r="D430" i="3"/>
  <c r="C430" i="3"/>
  <c r="B430" i="3"/>
  <c r="A430" i="3"/>
  <c r="F429" i="3"/>
  <c r="E429" i="3"/>
  <c r="D429" i="3"/>
  <c r="C429" i="3"/>
  <c r="B429" i="3"/>
  <c r="A429" i="3"/>
  <c r="F428" i="3"/>
  <c r="E428" i="3"/>
  <c r="D428" i="3"/>
  <c r="C428" i="3"/>
  <c r="B428" i="3"/>
  <c r="A428" i="3"/>
  <c r="F427" i="3"/>
  <c r="E427" i="3"/>
  <c r="D427" i="3"/>
  <c r="C427" i="3"/>
  <c r="B427" i="3"/>
  <c r="A427" i="3"/>
  <c r="F426" i="3"/>
  <c r="E426" i="3"/>
  <c r="D426" i="3"/>
  <c r="C426" i="3"/>
  <c r="B426" i="3"/>
  <c r="A426" i="3"/>
  <c r="F425" i="3"/>
  <c r="E425" i="3"/>
  <c r="D425" i="3"/>
  <c r="C425" i="3"/>
  <c r="B425" i="3"/>
  <c r="A425" i="3"/>
  <c r="F424" i="3"/>
  <c r="E424" i="3"/>
  <c r="D424" i="3"/>
  <c r="C424" i="3"/>
  <c r="B424" i="3"/>
  <c r="A424" i="3"/>
  <c r="F423" i="3"/>
  <c r="E423" i="3"/>
  <c r="D423" i="3"/>
  <c r="C423" i="3"/>
  <c r="B423" i="3"/>
  <c r="A423" i="3"/>
  <c r="F422" i="3"/>
  <c r="E422" i="3"/>
  <c r="D422" i="3"/>
  <c r="C422" i="3"/>
  <c r="B422" i="3"/>
  <c r="A422" i="3"/>
  <c r="F421" i="3"/>
  <c r="E421" i="3"/>
  <c r="D421" i="3"/>
  <c r="C421" i="3"/>
  <c r="B421" i="3"/>
  <c r="A421" i="3"/>
  <c r="F420" i="3"/>
  <c r="E420" i="3"/>
  <c r="D420" i="3"/>
  <c r="C420" i="3"/>
  <c r="B420" i="3"/>
  <c r="A420" i="3"/>
  <c r="F419" i="3"/>
  <c r="E419" i="3"/>
  <c r="D419" i="3"/>
  <c r="C419" i="3"/>
  <c r="B419" i="3"/>
  <c r="A419" i="3"/>
  <c r="F418" i="3"/>
  <c r="E418" i="3"/>
  <c r="D418" i="3"/>
  <c r="C418" i="3"/>
  <c r="B418" i="3"/>
  <c r="A418" i="3"/>
  <c r="F417" i="3"/>
  <c r="E417" i="3"/>
  <c r="D417" i="3"/>
  <c r="C417" i="3"/>
  <c r="B417" i="3"/>
  <c r="A417" i="3"/>
  <c r="F416" i="3"/>
  <c r="E416" i="3"/>
  <c r="D416" i="3"/>
  <c r="C416" i="3"/>
  <c r="B416" i="3"/>
  <c r="A416" i="3"/>
  <c r="F415" i="3"/>
  <c r="E415" i="3"/>
  <c r="D415" i="3"/>
  <c r="C415" i="3"/>
  <c r="B415" i="3"/>
  <c r="A415" i="3"/>
  <c r="F414" i="3"/>
  <c r="E414" i="3"/>
  <c r="D414" i="3"/>
  <c r="C414" i="3"/>
  <c r="B414" i="3"/>
  <c r="A414" i="3"/>
  <c r="F413" i="3"/>
  <c r="E413" i="3"/>
  <c r="D413" i="3"/>
  <c r="C413" i="3"/>
  <c r="B413" i="3"/>
  <c r="A413" i="3"/>
  <c r="F412" i="3"/>
  <c r="E412" i="3"/>
  <c r="D412" i="3"/>
  <c r="C412" i="3"/>
  <c r="B412" i="3"/>
  <c r="A412" i="3"/>
  <c r="F411" i="3"/>
  <c r="E411" i="3"/>
  <c r="D411" i="3"/>
  <c r="C411" i="3"/>
  <c r="B411" i="3"/>
  <c r="A411" i="3"/>
  <c r="F410" i="3"/>
  <c r="E410" i="3"/>
  <c r="D410" i="3"/>
  <c r="C410" i="3"/>
  <c r="B410" i="3"/>
  <c r="A410" i="3"/>
  <c r="F409" i="3"/>
  <c r="E409" i="3"/>
  <c r="D409" i="3"/>
  <c r="C409" i="3"/>
  <c r="B409" i="3"/>
  <c r="A409" i="3"/>
  <c r="F408" i="3"/>
  <c r="E408" i="3"/>
  <c r="D408" i="3"/>
  <c r="C408" i="3"/>
  <c r="B408" i="3"/>
  <c r="A408" i="3"/>
  <c r="F407" i="3"/>
  <c r="E407" i="3"/>
  <c r="D407" i="3"/>
  <c r="C407" i="3"/>
  <c r="B407" i="3"/>
  <c r="A407" i="3"/>
  <c r="F406" i="3"/>
  <c r="E406" i="3"/>
  <c r="D406" i="3"/>
  <c r="C406" i="3"/>
  <c r="B406" i="3"/>
  <c r="A406" i="3"/>
  <c r="F405" i="3"/>
  <c r="E405" i="3"/>
  <c r="D405" i="3"/>
  <c r="C405" i="3"/>
  <c r="B405" i="3"/>
  <c r="A405" i="3"/>
  <c r="F404" i="3"/>
  <c r="E404" i="3"/>
  <c r="D404" i="3"/>
  <c r="C404" i="3"/>
  <c r="B404" i="3"/>
  <c r="A404" i="3"/>
  <c r="F403" i="3"/>
  <c r="E403" i="3"/>
  <c r="D403" i="3"/>
  <c r="C403" i="3"/>
  <c r="B403" i="3"/>
  <c r="A403" i="3"/>
  <c r="F402" i="3"/>
  <c r="E402" i="3"/>
  <c r="D402" i="3"/>
  <c r="C402" i="3"/>
  <c r="B402" i="3"/>
  <c r="A402" i="3"/>
  <c r="F401" i="3"/>
  <c r="E401" i="3"/>
  <c r="D401" i="3"/>
  <c r="C401" i="3"/>
  <c r="B401" i="3"/>
  <c r="A401" i="3"/>
  <c r="F400" i="3"/>
  <c r="E400" i="3"/>
  <c r="D400" i="3"/>
  <c r="C400" i="3"/>
  <c r="B400" i="3"/>
  <c r="A400" i="3"/>
  <c r="F399" i="3"/>
  <c r="E399" i="3"/>
  <c r="D399" i="3"/>
  <c r="C399" i="3"/>
  <c r="B399" i="3"/>
  <c r="A399" i="3"/>
  <c r="F398" i="3"/>
  <c r="E398" i="3"/>
  <c r="D398" i="3"/>
  <c r="C398" i="3"/>
  <c r="B398" i="3"/>
  <c r="A398" i="3"/>
  <c r="F397" i="3"/>
  <c r="E397" i="3"/>
  <c r="D397" i="3"/>
  <c r="C397" i="3"/>
  <c r="B397" i="3"/>
  <c r="A397" i="3"/>
  <c r="F396" i="3"/>
  <c r="E396" i="3"/>
  <c r="D396" i="3"/>
  <c r="C396" i="3"/>
  <c r="B396" i="3"/>
  <c r="A396" i="3"/>
  <c r="F395" i="3"/>
  <c r="E395" i="3"/>
  <c r="D395" i="3"/>
  <c r="C395" i="3"/>
  <c r="B395" i="3"/>
  <c r="A395" i="3"/>
  <c r="F394" i="3"/>
  <c r="E394" i="3"/>
  <c r="D394" i="3"/>
  <c r="C394" i="3"/>
  <c r="B394" i="3"/>
  <c r="A394" i="3"/>
  <c r="F393" i="3"/>
  <c r="E393" i="3"/>
  <c r="D393" i="3"/>
  <c r="C393" i="3"/>
  <c r="B393" i="3"/>
  <c r="A393" i="3"/>
  <c r="F392" i="3"/>
  <c r="E392" i="3"/>
  <c r="D392" i="3"/>
  <c r="C392" i="3"/>
  <c r="B392" i="3"/>
  <c r="A392" i="3"/>
  <c r="F391" i="3"/>
  <c r="E391" i="3"/>
  <c r="D391" i="3"/>
  <c r="C391" i="3"/>
  <c r="B391" i="3"/>
  <c r="A391" i="3"/>
  <c r="F390" i="3"/>
  <c r="E390" i="3"/>
  <c r="D390" i="3"/>
  <c r="C390" i="3"/>
  <c r="B390" i="3"/>
  <c r="A390" i="3"/>
  <c r="F389" i="3"/>
  <c r="E389" i="3"/>
  <c r="D389" i="3"/>
  <c r="C389" i="3"/>
  <c r="B389" i="3"/>
  <c r="A389" i="3"/>
  <c r="F388" i="3"/>
  <c r="E388" i="3"/>
  <c r="D388" i="3"/>
  <c r="C388" i="3"/>
  <c r="B388" i="3"/>
  <c r="A388" i="3"/>
  <c r="F387" i="3"/>
  <c r="E387" i="3"/>
  <c r="D387" i="3"/>
  <c r="C387" i="3"/>
  <c r="B387" i="3"/>
  <c r="A387" i="3"/>
  <c r="F386" i="3"/>
  <c r="E386" i="3"/>
  <c r="D386" i="3"/>
  <c r="C386" i="3"/>
  <c r="B386" i="3"/>
  <c r="A386" i="3"/>
  <c r="F385" i="3"/>
  <c r="E385" i="3"/>
  <c r="D385" i="3"/>
  <c r="C385" i="3"/>
  <c r="B385" i="3"/>
  <c r="A385" i="3"/>
  <c r="F384" i="3"/>
  <c r="E384" i="3"/>
  <c r="D384" i="3"/>
  <c r="C384" i="3"/>
  <c r="B384" i="3"/>
  <c r="A384" i="3"/>
  <c r="F383" i="3"/>
  <c r="E383" i="3"/>
  <c r="D383" i="3"/>
  <c r="C383" i="3"/>
  <c r="B383" i="3"/>
  <c r="A383" i="3"/>
  <c r="F382" i="3"/>
  <c r="E382" i="3"/>
  <c r="D382" i="3"/>
  <c r="C382" i="3"/>
  <c r="B382" i="3"/>
  <c r="A382" i="3"/>
  <c r="F381" i="3"/>
  <c r="E381" i="3"/>
  <c r="D381" i="3"/>
  <c r="C381" i="3"/>
  <c r="B381" i="3"/>
  <c r="A381" i="3"/>
  <c r="F380" i="3"/>
  <c r="E380" i="3"/>
  <c r="D380" i="3"/>
  <c r="C380" i="3"/>
  <c r="B380" i="3"/>
  <c r="A380" i="3"/>
  <c r="F379" i="3"/>
  <c r="E379" i="3"/>
  <c r="D379" i="3"/>
  <c r="C379" i="3"/>
  <c r="B379" i="3"/>
  <c r="A379" i="3"/>
  <c r="F378" i="3"/>
  <c r="E378" i="3"/>
  <c r="D378" i="3"/>
  <c r="C378" i="3"/>
  <c r="B378" i="3"/>
  <c r="A378" i="3"/>
  <c r="F377" i="3"/>
  <c r="E377" i="3"/>
  <c r="D377" i="3"/>
  <c r="C377" i="3"/>
  <c r="B377" i="3"/>
  <c r="A377" i="3"/>
  <c r="F376" i="3"/>
  <c r="E376" i="3"/>
  <c r="D376" i="3"/>
  <c r="C376" i="3"/>
  <c r="B376" i="3"/>
  <c r="A376" i="3"/>
  <c r="F375" i="3"/>
  <c r="E375" i="3"/>
  <c r="D375" i="3"/>
  <c r="C375" i="3"/>
  <c r="B375" i="3"/>
  <c r="A375" i="3"/>
  <c r="F374" i="3"/>
  <c r="E374" i="3"/>
  <c r="D374" i="3"/>
  <c r="C374" i="3"/>
  <c r="B374" i="3"/>
  <c r="A374" i="3"/>
  <c r="F373" i="3"/>
  <c r="E373" i="3"/>
  <c r="D373" i="3"/>
  <c r="C373" i="3"/>
  <c r="B373" i="3"/>
  <c r="A373" i="3"/>
  <c r="F372" i="3"/>
  <c r="E372" i="3"/>
  <c r="D372" i="3"/>
  <c r="C372" i="3"/>
  <c r="B372" i="3"/>
  <c r="A372" i="3"/>
  <c r="F371" i="3"/>
  <c r="E371" i="3"/>
  <c r="D371" i="3"/>
  <c r="C371" i="3"/>
  <c r="B371" i="3"/>
  <c r="A371" i="3"/>
  <c r="F370" i="3"/>
  <c r="E370" i="3"/>
  <c r="D370" i="3"/>
  <c r="C370" i="3"/>
  <c r="B370" i="3"/>
  <c r="A370" i="3"/>
  <c r="F369" i="3"/>
  <c r="E369" i="3"/>
  <c r="D369" i="3"/>
  <c r="C369" i="3"/>
  <c r="B369" i="3"/>
  <c r="A369" i="3"/>
  <c r="F368" i="3"/>
  <c r="E368" i="3"/>
  <c r="D368" i="3"/>
  <c r="C368" i="3"/>
  <c r="B368" i="3"/>
  <c r="A368" i="3"/>
  <c r="F367" i="3"/>
  <c r="E367" i="3"/>
  <c r="D367" i="3"/>
  <c r="C367" i="3"/>
  <c r="B367" i="3"/>
  <c r="A367" i="3"/>
  <c r="F366" i="3"/>
  <c r="E366" i="3"/>
  <c r="D366" i="3"/>
  <c r="C366" i="3"/>
  <c r="B366" i="3"/>
  <c r="A366" i="3"/>
  <c r="F365" i="3"/>
  <c r="E365" i="3"/>
  <c r="D365" i="3"/>
  <c r="C365" i="3"/>
  <c r="B365" i="3"/>
  <c r="A365" i="3"/>
  <c r="F364" i="3"/>
  <c r="E364" i="3"/>
  <c r="D364" i="3"/>
  <c r="C364" i="3"/>
  <c r="B364" i="3"/>
  <c r="A364" i="3"/>
  <c r="F363" i="3"/>
  <c r="E363" i="3"/>
  <c r="D363" i="3"/>
  <c r="C363" i="3"/>
  <c r="B363" i="3"/>
  <c r="A363" i="3"/>
  <c r="F362" i="3"/>
  <c r="E362" i="3"/>
  <c r="D362" i="3"/>
  <c r="C362" i="3"/>
  <c r="B362" i="3"/>
  <c r="A362" i="3"/>
  <c r="F361" i="3"/>
  <c r="E361" i="3"/>
  <c r="D361" i="3"/>
  <c r="C361" i="3"/>
  <c r="B361" i="3"/>
  <c r="A361" i="3"/>
  <c r="F360" i="3"/>
  <c r="E360" i="3"/>
  <c r="D360" i="3"/>
  <c r="C360" i="3"/>
  <c r="B360" i="3"/>
  <c r="A360" i="3"/>
  <c r="F359" i="3"/>
  <c r="E359" i="3"/>
  <c r="D359" i="3"/>
  <c r="C359" i="3"/>
  <c r="B359" i="3"/>
  <c r="A359" i="3"/>
  <c r="F358" i="3"/>
  <c r="E358" i="3"/>
  <c r="D358" i="3"/>
  <c r="C358" i="3"/>
  <c r="B358" i="3"/>
  <c r="A358" i="3"/>
  <c r="F357" i="3"/>
  <c r="E357" i="3"/>
  <c r="D357" i="3"/>
  <c r="C357" i="3"/>
  <c r="B357" i="3"/>
  <c r="A357" i="3"/>
  <c r="F356" i="3"/>
  <c r="E356" i="3"/>
  <c r="D356" i="3"/>
  <c r="C356" i="3"/>
  <c r="B356" i="3"/>
  <c r="A356" i="3"/>
  <c r="F355" i="3"/>
  <c r="E355" i="3"/>
  <c r="D355" i="3"/>
  <c r="C355" i="3"/>
  <c r="B355" i="3"/>
  <c r="A355" i="3"/>
  <c r="F354" i="3"/>
  <c r="E354" i="3"/>
  <c r="D354" i="3"/>
  <c r="C354" i="3"/>
  <c r="B354" i="3"/>
  <c r="A354" i="3"/>
  <c r="F353" i="3"/>
  <c r="E353" i="3"/>
  <c r="D353" i="3"/>
  <c r="C353" i="3"/>
  <c r="B353" i="3"/>
  <c r="A353" i="3"/>
  <c r="F352" i="3"/>
  <c r="E352" i="3"/>
  <c r="D352" i="3"/>
  <c r="C352" i="3"/>
  <c r="B352" i="3"/>
  <c r="A352" i="3"/>
  <c r="F351" i="3"/>
  <c r="E351" i="3"/>
  <c r="D351" i="3"/>
  <c r="C351" i="3"/>
  <c r="B351" i="3"/>
  <c r="A351" i="3"/>
  <c r="F350" i="3"/>
  <c r="E350" i="3"/>
  <c r="D350" i="3"/>
  <c r="C350" i="3"/>
  <c r="B350" i="3"/>
  <c r="A350" i="3"/>
  <c r="F349" i="3"/>
  <c r="E349" i="3"/>
  <c r="D349" i="3"/>
  <c r="C349" i="3"/>
  <c r="B349" i="3"/>
  <c r="A349" i="3"/>
  <c r="F348" i="3"/>
  <c r="E348" i="3"/>
  <c r="D348" i="3"/>
  <c r="C348" i="3"/>
  <c r="B348" i="3"/>
  <c r="A348" i="3"/>
  <c r="F347" i="3"/>
  <c r="E347" i="3"/>
  <c r="D347" i="3"/>
  <c r="C347" i="3"/>
  <c r="B347" i="3"/>
  <c r="A347" i="3"/>
  <c r="F346" i="3"/>
  <c r="E346" i="3"/>
  <c r="D346" i="3"/>
  <c r="C346" i="3"/>
  <c r="B346" i="3"/>
  <c r="A346" i="3"/>
  <c r="F345" i="3"/>
  <c r="E345" i="3"/>
  <c r="D345" i="3"/>
  <c r="C345" i="3"/>
  <c r="B345" i="3"/>
  <c r="A345" i="3"/>
  <c r="F344" i="3"/>
  <c r="E344" i="3"/>
  <c r="D344" i="3"/>
  <c r="C344" i="3"/>
  <c r="B344" i="3"/>
  <c r="A344" i="3"/>
  <c r="F343" i="3"/>
  <c r="E343" i="3"/>
  <c r="D343" i="3"/>
  <c r="C343" i="3"/>
  <c r="B343" i="3"/>
  <c r="A343" i="3"/>
  <c r="F342" i="3"/>
  <c r="E342" i="3"/>
  <c r="D342" i="3"/>
  <c r="C342" i="3"/>
  <c r="B342" i="3"/>
  <c r="A342" i="3"/>
  <c r="F341" i="3"/>
  <c r="E341" i="3"/>
  <c r="D341" i="3"/>
  <c r="C341" i="3"/>
  <c r="B341" i="3"/>
  <c r="A341" i="3"/>
  <c r="F340" i="3"/>
  <c r="E340" i="3"/>
  <c r="D340" i="3"/>
  <c r="C340" i="3"/>
  <c r="B340" i="3"/>
  <c r="A340" i="3"/>
  <c r="F339" i="3"/>
  <c r="E339" i="3"/>
  <c r="D339" i="3"/>
  <c r="C339" i="3"/>
  <c r="B339" i="3"/>
  <c r="A339" i="3"/>
  <c r="F338" i="3"/>
  <c r="E338" i="3"/>
  <c r="D338" i="3"/>
  <c r="C338" i="3"/>
  <c r="B338" i="3"/>
  <c r="A338" i="3"/>
  <c r="F337" i="3"/>
  <c r="E337" i="3"/>
  <c r="D337" i="3"/>
  <c r="C337" i="3"/>
  <c r="B337" i="3"/>
  <c r="A337" i="3"/>
  <c r="F336" i="3"/>
  <c r="E336" i="3"/>
  <c r="D336" i="3"/>
  <c r="C336" i="3"/>
  <c r="B336" i="3"/>
  <c r="A336" i="3"/>
  <c r="F335" i="3"/>
  <c r="E335" i="3"/>
  <c r="D335" i="3"/>
  <c r="C335" i="3"/>
  <c r="B335" i="3"/>
  <c r="A335" i="3"/>
  <c r="F334" i="3"/>
  <c r="E334" i="3"/>
  <c r="D334" i="3"/>
  <c r="C334" i="3"/>
  <c r="B334" i="3"/>
  <c r="A334" i="3"/>
  <c r="F333" i="3"/>
  <c r="E333" i="3"/>
  <c r="D333" i="3"/>
  <c r="C333" i="3"/>
  <c r="B333" i="3"/>
  <c r="A333" i="3"/>
  <c r="F332" i="3"/>
  <c r="E332" i="3"/>
  <c r="D332" i="3"/>
  <c r="C332" i="3"/>
  <c r="B332" i="3"/>
  <c r="A332" i="3"/>
  <c r="F331" i="3"/>
  <c r="E331" i="3"/>
  <c r="D331" i="3"/>
  <c r="C331" i="3"/>
  <c r="B331" i="3"/>
  <c r="A331" i="3"/>
  <c r="F330" i="3"/>
  <c r="E330" i="3"/>
  <c r="D330" i="3"/>
  <c r="C330" i="3"/>
  <c r="B330" i="3"/>
  <c r="A330" i="3"/>
  <c r="F329" i="3"/>
  <c r="E329" i="3"/>
  <c r="D329" i="3"/>
  <c r="C329" i="3"/>
  <c r="B329" i="3"/>
  <c r="A329" i="3"/>
  <c r="F328" i="3"/>
  <c r="E328" i="3"/>
  <c r="D328" i="3"/>
  <c r="C328" i="3"/>
  <c r="B328" i="3"/>
  <c r="A328" i="3"/>
  <c r="F327" i="3"/>
  <c r="E327" i="3"/>
  <c r="D327" i="3"/>
  <c r="C327" i="3"/>
  <c r="B327" i="3"/>
  <c r="A327" i="3"/>
  <c r="F326" i="3"/>
  <c r="E326" i="3"/>
  <c r="D326" i="3"/>
  <c r="C326" i="3"/>
  <c r="B326" i="3"/>
  <c r="A326" i="3"/>
  <c r="F325" i="3"/>
  <c r="E325" i="3"/>
  <c r="D325" i="3"/>
  <c r="C325" i="3"/>
  <c r="B325" i="3"/>
  <c r="A325" i="3"/>
  <c r="F324" i="3"/>
  <c r="E324" i="3"/>
  <c r="D324" i="3"/>
  <c r="C324" i="3"/>
  <c r="B324" i="3"/>
  <c r="A324" i="3"/>
  <c r="F323" i="3"/>
  <c r="E323" i="3"/>
  <c r="D323" i="3"/>
  <c r="C323" i="3"/>
  <c r="B323" i="3"/>
  <c r="A323" i="3"/>
  <c r="F322" i="3"/>
  <c r="E322" i="3"/>
  <c r="D322" i="3"/>
  <c r="C322" i="3"/>
  <c r="B322" i="3"/>
  <c r="A322" i="3"/>
  <c r="F321" i="3"/>
  <c r="E321" i="3"/>
  <c r="D321" i="3"/>
  <c r="C321" i="3"/>
  <c r="B321" i="3"/>
  <c r="A321" i="3"/>
  <c r="F320" i="3"/>
  <c r="E320" i="3"/>
  <c r="D320" i="3"/>
  <c r="C320" i="3"/>
  <c r="B320" i="3"/>
  <c r="A320" i="3"/>
  <c r="F319" i="3"/>
  <c r="E319" i="3"/>
  <c r="D319" i="3"/>
  <c r="C319" i="3"/>
  <c r="B319" i="3"/>
  <c r="A319" i="3"/>
  <c r="F318" i="3"/>
  <c r="E318" i="3"/>
  <c r="D318" i="3"/>
  <c r="C318" i="3"/>
  <c r="B318" i="3"/>
  <c r="A318" i="3"/>
  <c r="F317" i="3"/>
  <c r="E317" i="3"/>
  <c r="D317" i="3"/>
  <c r="C317" i="3"/>
  <c r="B317" i="3"/>
  <c r="A317" i="3"/>
  <c r="F316" i="3"/>
  <c r="E316" i="3"/>
  <c r="D316" i="3"/>
  <c r="C316" i="3"/>
  <c r="B316" i="3"/>
  <c r="A316" i="3"/>
  <c r="F315" i="3"/>
  <c r="E315" i="3"/>
  <c r="D315" i="3"/>
  <c r="C315" i="3"/>
  <c r="B315" i="3"/>
  <c r="A315" i="3"/>
  <c r="F314" i="3"/>
  <c r="E314" i="3"/>
  <c r="D314" i="3"/>
  <c r="C314" i="3"/>
  <c r="B314" i="3"/>
  <c r="A314" i="3"/>
  <c r="F313" i="3"/>
  <c r="E313" i="3"/>
  <c r="D313" i="3"/>
  <c r="C313" i="3"/>
  <c r="B313" i="3"/>
  <c r="A313" i="3"/>
  <c r="F312" i="3"/>
  <c r="E312" i="3"/>
  <c r="D312" i="3"/>
  <c r="C312" i="3"/>
  <c r="B312" i="3"/>
  <c r="A312" i="3"/>
  <c r="F311" i="3"/>
  <c r="E311" i="3"/>
  <c r="D311" i="3"/>
  <c r="C311" i="3"/>
  <c r="B311" i="3"/>
  <c r="A311" i="3"/>
  <c r="F310" i="3"/>
  <c r="E310" i="3"/>
  <c r="D310" i="3"/>
  <c r="C310" i="3"/>
  <c r="B310" i="3"/>
  <c r="A310" i="3"/>
  <c r="F309" i="3"/>
  <c r="E309" i="3"/>
  <c r="D309" i="3"/>
  <c r="C309" i="3"/>
  <c r="B309" i="3"/>
  <c r="A309" i="3"/>
  <c r="F308" i="3"/>
  <c r="E308" i="3"/>
  <c r="D308" i="3"/>
  <c r="C308" i="3"/>
  <c r="B308" i="3"/>
  <c r="A308" i="3"/>
  <c r="F307" i="3"/>
  <c r="E307" i="3"/>
  <c r="D307" i="3"/>
  <c r="C307" i="3"/>
  <c r="B307" i="3"/>
  <c r="A307" i="3"/>
  <c r="F306" i="3"/>
  <c r="E306" i="3"/>
  <c r="D306" i="3"/>
  <c r="C306" i="3"/>
  <c r="B306" i="3"/>
  <c r="A306" i="3"/>
  <c r="F305" i="3"/>
  <c r="E305" i="3"/>
  <c r="D305" i="3"/>
  <c r="C305" i="3"/>
  <c r="B305" i="3"/>
  <c r="A305" i="3"/>
  <c r="F304" i="3"/>
  <c r="E304" i="3"/>
  <c r="D304" i="3"/>
  <c r="C304" i="3"/>
  <c r="B304" i="3"/>
  <c r="A304" i="3"/>
  <c r="F303" i="3"/>
  <c r="E303" i="3"/>
  <c r="D303" i="3"/>
  <c r="C303" i="3"/>
  <c r="B303" i="3"/>
  <c r="A303" i="3"/>
  <c r="F302" i="3"/>
  <c r="E302" i="3"/>
  <c r="D302" i="3"/>
  <c r="C302" i="3"/>
  <c r="B302" i="3"/>
  <c r="A302" i="3"/>
  <c r="F301" i="3"/>
  <c r="E301" i="3"/>
  <c r="D301" i="3"/>
  <c r="C301" i="3"/>
  <c r="B301" i="3"/>
  <c r="A301" i="3"/>
  <c r="F300" i="3"/>
  <c r="E300" i="3"/>
  <c r="D300" i="3"/>
  <c r="C300" i="3"/>
  <c r="B300" i="3"/>
  <c r="A300" i="3"/>
  <c r="F299" i="3"/>
  <c r="E299" i="3"/>
  <c r="D299" i="3"/>
  <c r="C299" i="3"/>
  <c r="B299" i="3"/>
  <c r="A299" i="3"/>
  <c r="F298" i="3"/>
  <c r="E298" i="3"/>
  <c r="D298" i="3"/>
  <c r="C298" i="3"/>
  <c r="B298" i="3"/>
  <c r="A298" i="3"/>
  <c r="F297" i="3"/>
  <c r="E297" i="3"/>
  <c r="D297" i="3"/>
  <c r="C297" i="3"/>
  <c r="B297" i="3"/>
  <c r="A297" i="3"/>
  <c r="F296" i="3"/>
  <c r="E296" i="3"/>
  <c r="D296" i="3"/>
  <c r="C296" i="3"/>
  <c r="B296" i="3"/>
  <c r="A296" i="3"/>
  <c r="F295" i="3"/>
  <c r="E295" i="3"/>
  <c r="D295" i="3"/>
  <c r="C295" i="3"/>
  <c r="B295" i="3"/>
  <c r="A295" i="3"/>
  <c r="F294" i="3"/>
  <c r="E294" i="3"/>
  <c r="D294" i="3"/>
  <c r="C294" i="3"/>
  <c r="B294" i="3"/>
  <c r="A294" i="3"/>
  <c r="F293" i="3"/>
  <c r="E293" i="3"/>
  <c r="D293" i="3"/>
  <c r="C293" i="3"/>
  <c r="B293" i="3"/>
  <c r="A293" i="3"/>
  <c r="F292" i="3"/>
  <c r="E292" i="3"/>
  <c r="D292" i="3"/>
  <c r="C292" i="3"/>
  <c r="B292" i="3"/>
  <c r="A292" i="3"/>
  <c r="F291" i="3"/>
  <c r="E291" i="3"/>
  <c r="D291" i="3"/>
  <c r="C291" i="3"/>
  <c r="B291" i="3"/>
  <c r="A291" i="3"/>
  <c r="F290" i="3"/>
  <c r="E290" i="3"/>
  <c r="D290" i="3"/>
  <c r="C290" i="3"/>
  <c r="B290" i="3"/>
  <c r="A290" i="3"/>
  <c r="F289" i="3"/>
  <c r="E289" i="3"/>
  <c r="D289" i="3"/>
  <c r="C289" i="3"/>
  <c r="B289" i="3"/>
  <c r="A289" i="3"/>
  <c r="F288" i="3"/>
  <c r="E288" i="3"/>
  <c r="D288" i="3"/>
  <c r="C288" i="3"/>
  <c r="B288" i="3"/>
  <c r="A288" i="3"/>
  <c r="F287" i="3"/>
  <c r="E287" i="3"/>
  <c r="D287" i="3"/>
  <c r="C287" i="3"/>
  <c r="B287" i="3"/>
  <c r="A287" i="3"/>
  <c r="F286" i="3"/>
  <c r="E286" i="3"/>
  <c r="D286" i="3"/>
  <c r="C286" i="3"/>
  <c r="B286" i="3"/>
  <c r="A286" i="3"/>
  <c r="F285" i="3"/>
  <c r="E285" i="3"/>
  <c r="D285" i="3"/>
  <c r="C285" i="3"/>
  <c r="B285" i="3"/>
  <c r="A285" i="3"/>
  <c r="F284" i="3"/>
  <c r="E284" i="3"/>
  <c r="D284" i="3"/>
  <c r="C284" i="3"/>
  <c r="B284" i="3"/>
  <c r="A284" i="3"/>
  <c r="F283" i="3"/>
  <c r="E283" i="3"/>
  <c r="D283" i="3"/>
  <c r="C283" i="3"/>
  <c r="B283" i="3"/>
  <c r="A283" i="3"/>
  <c r="F282" i="3"/>
  <c r="E282" i="3"/>
  <c r="D282" i="3"/>
  <c r="C282" i="3"/>
  <c r="B282" i="3"/>
  <c r="A282" i="3"/>
  <c r="F281" i="3"/>
  <c r="E281" i="3"/>
  <c r="D281" i="3"/>
  <c r="C281" i="3"/>
  <c r="B281" i="3"/>
  <c r="A281" i="3"/>
  <c r="F280" i="3"/>
  <c r="E280" i="3"/>
  <c r="D280" i="3"/>
  <c r="C280" i="3"/>
  <c r="B280" i="3"/>
  <c r="A280" i="3"/>
  <c r="F279" i="3"/>
  <c r="E279" i="3"/>
  <c r="D279" i="3"/>
  <c r="C279" i="3"/>
  <c r="B279" i="3"/>
  <c r="A279" i="3"/>
  <c r="F278" i="3"/>
  <c r="E278" i="3"/>
  <c r="D278" i="3"/>
  <c r="C278" i="3"/>
  <c r="B278" i="3"/>
  <c r="A278" i="3"/>
  <c r="F277" i="3"/>
  <c r="E277" i="3"/>
  <c r="D277" i="3"/>
  <c r="C277" i="3"/>
  <c r="B277" i="3"/>
  <c r="A277" i="3"/>
  <c r="F276" i="3"/>
  <c r="E276" i="3"/>
  <c r="D276" i="3"/>
  <c r="C276" i="3"/>
  <c r="B276" i="3"/>
  <c r="A276" i="3"/>
  <c r="F275" i="3"/>
  <c r="E275" i="3"/>
  <c r="D275" i="3"/>
  <c r="C275" i="3"/>
  <c r="B275" i="3"/>
  <c r="A275" i="3"/>
  <c r="F274" i="3"/>
  <c r="E274" i="3"/>
  <c r="D274" i="3"/>
  <c r="C274" i="3"/>
  <c r="B274" i="3"/>
  <c r="A274" i="3"/>
  <c r="F273" i="3"/>
  <c r="E273" i="3"/>
  <c r="D273" i="3"/>
  <c r="C273" i="3"/>
  <c r="B273" i="3"/>
  <c r="A273" i="3"/>
  <c r="F272" i="3"/>
  <c r="E272" i="3"/>
  <c r="D272" i="3"/>
  <c r="C272" i="3"/>
  <c r="B272" i="3"/>
  <c r="A272" i="3"/>
  <c r="F271" i="3"/>
  <c r="E271" i="3"/>
  <c r="D271" i="3"/>
  <c r="C271" i="3"/>
  <c r="B271" i="3"/>
  <c r="A271" i="3"/>
  <c r="F270" i="3"/>
  <c r="E270" i="3"/>
  <c r="D270" i="3"/>
  <c r="C270" i="3"/>
  <c r="B270" i="3"/>
  <c r="A270" i="3"/>
  <c r="F269" i="3"/>
  <c r="E269" i="3"/>
  <c r="D269" i="3"/>
  <c r="C269" i="3"/>
  <c r="B269" i="3"/>
  <c r="A269" i="3"/>
  <c r="F268" i="3"/>
  <c r="E268" i="3"/>
  <c r="D268" i="3"/>
  <c r="C268" i="3"/>
  <c r="B268" i="3"/>
  <c r="A268" i="3"/>
  <c r="F267" i="3"/>
  <c r="E267" i="3"/>
  <c r="D267" i="3"/>
  <c r="C267" i="3"/>
  <c r="B267" i="3"/>
  <c r="A267" i="3"/>
  <c r="F266" i="3"/>
  <c r="E266" i="3"/>
  <c r="D266" i="3"/>
  <c r="C266" i="3"/>
  <c r="B266" i="3"/>
  <c r="A266" i="3"/>
  <c r="F265" i="3"/>
  <c r="E265" i="3"/>
  <c r="D265" i="3"/>
  <c r="C265" i="3"/>
  <c r="B265" i="3"/>
  <c r="A265" i="3"/>
  <c r="F264" i="3"/>
  <c r="E264" i="3"/>
  <c r="D264" i="3"/>
  <c r="C264" i="3"/>
  <c r="B264" i="3"/>
  <c r="A264" i="3"/>
  <c r="F263" i="3"/>
  <c r="E263" i="3"/>
  <c r="D263" i="3"/>
  <c r="C263" i="3"/>
  <c r="B263" i="3"/>
  <c r="A263" i="3"/>
  <c r="F262" i="3"/>
  <c r="E262" i="3"/>
  <c r="D262" i="3"/>
  <c r="C262" i="3"/>
  <c r="B262" i="3"/>
  <c r="A262" i="3"/>
  <c r="F261" i="3"/>
  <c r="E261" i="3"/>
  <c r="D261" i="3"/>
  <c r="C261" i="3"/>
  <c r="B261" i="3"/>
  <c r="A261" i="3"/>
  <c r="F260" i="3"/>
  <c r="E260" i="3"/>
  <c r="D260" i="3"/>
  <c r="C260" i="3"/>
  <c r="B260" i="3"/>
  <c r="A260" i="3"/>
  <c r="F259" i="3"/>
  <c r="E259" i="3"/>
  <c r="D259" i="3"/>
  <c r="C259" i="3"/>
  <c r="B259" i="3"/>
  <c r="A259" i="3"/>
  <c r="F258" i="3"/>
  <c r="E258" i="3"/>
  <c r="D258" i="3"/>
  <c r="C258" i="3"/>
  <c r="B258" i="3"/>
  <c r="A258" i="3"/>
  <c r="F257" i="3"/>
  <c r="E257" i="3"/>
  <c r="D257" i="3"/>
  <c r="C257" i="3"/>
  <c r="B257" i="3"/>
  <c r="A257" i="3"/>
  <c r="F256" i="3"/>
  <c r="E256" i="3"/>
  <c r="D256" i="3"/>
  <c r="C256" i="3"/>
  <c r="B256" i="3"/>
  <c r="A256" i="3"/>
  <c r="F255" i="3"/>
  <c r="E255" i="3"/>
  <c r="D255" i="3"/>
  <c r="C255" i="3"/>
  <c r="B255" i="3"/>
  <c r="A255" i="3"/>
  <c r="F254" i="3"/>
  <c r="E254" i="3"/>
  <c r="D254" i="3"/>
  <c r="C254" i="3"/>
  <c r="B254" i="3"/>
  <c r="A254" i="3"/>
  <c r="F253" i="3"/>
  <c r="E253" i="3"/>
  <c r="D253" i="3"/>
  <c r="C253" i="3"/>
  <c r="B253" i="3"/>
  <c r="A253" i="3"/>
  <c r="F252" i="3"/>
  <c r="E252" i="3"/>
  <c r="D252" i="3"/>
  <c r="C252" i="3"/>
  <c r="B252" i="3"/>
  <c r="A252" i="3"/>
  <c r="F251" i="3"/>
  <c r="E251" i="3"/>
  <c r="D251" i="3"/>
  <c r="C251" i="3"/>
  <c r="B251" i="3"/>
  <c r="A251" i="3"/>
  <c r="F250" i="3"/>
  <c r="E250" i="3"/>
  <c r="D250" i="3"/>
  <c r="C250" i="3"/>
  <c r="B250" i="3"/>
  <c r="A250" i="3"/>
  <c r="F249" i="3"/>
  <c r="E249" i="3"/>
  <c r="D249" i="3"/>
  <c r="C249" i="3"/>
  <c r="B249" i="3"/>
  <c r="A249" i="3"/>
  <c r="F248" i="3"/>
  <c r="E248" i="3"/>
  <c r="D248" i="3"/>
  <c r="C248" i="3"/>
  <c r="B248" i="3"/>
  <c r="A248" i="3"/>
  <c r="F247" i="3"/>
  <c r="E247" i="3"/>
  <c r="D247" i="3"/>
  <c r="C247" i="3"/>
  <c r="B247" i="3"/>
  <c r="A247" i="3"/>
  <c r="F246" i="3"/>
  <c r="E246" i="3"/>
  <c r="D246" i="3"/>
  <c r="C246" i="3"/>
  <c r="B246" i="3"/>
  <c r="A246" i="3"/>
  <c r="F245" i="3"/>
  <c r="E245" i="3"/>
  <c r="D245" i="3"/>
  <c r="C245" i="3"/>
  <c r="B245" i="3"/>
  <c r="A245" i="3"/>
  <c r="F244" i="3"/>
  <c r="E244" i="3"/>
  <c r="D244" i="3"/>
  <c r="C244" i="3"/>
  <c r="B244" i="3"/>
  <c r="A244" i="3"/>
  <c r="F243" i="3"/>
  <c r="E243" i="3"/>
  <c r="D243" i="3"/>
  <c r="C243" i="3"/>
  <c r="B243" i="3"/>
  <c r="A243" i="3"/>
  <c r="F242" i="3"/>
  <c r="E242" i="3"/>
  <c r="D242" i="3"/>
  <c r="C242" i="3"/>
  <c r="B242" i="3"/>
  <c r="A242" i="3"/>
  <c r="F241" i="3"/>
  <c r="E241" i="3"/>
  <c r="D241" i="3"/>
  <c r="C241" i="3"/>
  <c r="B241" i="3"/>
  <c r="A241" i="3"/>
  <c r="F240" i="3"/>
  <c r="E240" i="3"/>
  <c r="D240" i="3"/>
  <c r="C240" i="3"/>
  <c r="B240" i="3"/>
  <c r="A240" i="3"/>
  <c r="F239" i="3"/>
  <c r="E239" i="3"/>
  <c r="D239" i="3"/>
  <c r="C239" i="3"/>
  <c r="B239" i="3"/>
  <c r="A239" i="3"/>
  <c r="F238" i="3"/>
  <c r="E238" i="3"/>
  <c r="D238" i="3"/>
  <c r="C238" i="3"/>
  <c r="B238" i="3"/>
  <c r="A238" i="3"/>
  <c r="F237" i="3"/>
  <c r="E237" i="3"/>
  <c r="D237" i="3"/>
  <c r="C237" i="3"/>
  <c r="B237" i="3"/>
  <c r="A237" i="3"/>
  <c r="F236" i="3"/>
  <c r="E236" i="3"/>
  <c r="D236" i="3"/>
  <c r="C236" i="3"/>
  <c r="B236" i="3"/>
  <c r="A236" i="3"/>
  <c r="F235" i="3"/>
  <c r="E235" i="3"/>
  <c r="D235" i="3"/>
  <c r="C235" i="3"/>
  <c r="B235" i="3"/>
  <c r="A235" i="3"/>
  <c r="F234" i="3"/>
  <c r="E234" i="3"/>
  <c r="D234" i="3"/>
  <c r="C234" i="3"/>
  <c r="B234" i="3"/>
  <c r="A234" i="3"/>
  <c r="F233" i="3"/>
  <c r="E233" i="3"/>
  <c r="D233" i="3"/>
  <c r="C233" i="3"/>
  <c r="B233" i="3"/>
  <c r="A233" i="3"/>
  <c r="F232" i="3"/>
  <c r="E232" i="3"/>
  <c r="D232" i="3"/>
  <c r="C232" i="3"/>
  <c r="B232" i="3"/>
  <c r="A232" i="3"/>
  <c r="F231" i="3"/>
  <c r="E231" i="3"/>
  <c r="D231" i="3"/>
  <c r="C231" i="3"/>
  <c r="B231" i="3"/>
  <c r="A231" i="3"/>
  <c r="F230" i="3"/>
  <c r="E230" i="3"/>
  <c r="D230" i="3"/>
  <c r="C230" i="3"/>
  <c r="B230" i="3"/>
  <c r="A230" i="3"/>
  <c r="F229" i="3"/>
  <c r="E229" i="3"/>
  <c r="D229" i="3"/>
  <c r="C229" i="3"/>
  <c r="B229" i="3"/>
  <c r="A229" i="3"/>
  <c r="F228" i="3"/>
  <c r="E228" i="3"/>
  <c r="D228" i="3"/>
  <c r="C228" i="3"/>
  <c r="B228" i="3"/>
  <c r="A228" i="3"/>
  <c r="F227" i="3"/>
  <c r="E227" i="3"/>
  <c r="D227" i="3"/>
  <c r="C227" i="3"/>
  <c r="B227" i="3"/>
  <c r="A227" i="3"/>
  <c r="F226" i="3"/>
  <c r="E226" i="3"/>
  <c r="D226" i="3"/>
  <c r="C226" i="3"/>
  <c r="B226" i="3"/>
  <c r="A226" i="3"/>
  <c r="F225" i="3"/>
  <c r="E225" i="3"/>
  <c r="D225" i="3"/>
  <c r="C225" i="3"/>
  <c r="B225" i="3"/>
  <c r="A225" i="3"/>
  <c r="F224" i="3"/>
  <c r="E224" i="3"/>
  <c r="D224" i="3"/>
  <c r="C224" i="3"/>
  <c r="B224" i="3"/>
  <c r="A224" i="3"/>
  <c r="F223" i="3"/>
  <c r="E223" i="3"/>
  <c r="D223" i="3"/>
  <c r="C223" i="3"/>
  <c r="B223" i="3"/>
  <c r="A223" i="3"/>
  <c r="F222" i="3"/>
  <c r="E222" i="3"/>
  <c r="D222" i="3"/>
  <c r="C222" i="3"/>
  <c r="B222" i="3"/>
  <c r="A222" i="3"/>
  <c r="F221" i="3"/>
  <c r="E221" i="3"/>
  <c r="D221" i="3"/>
  <c r="C221" i="3"/>
  <c r="B221" i="3"/>
  <c r="A221" i="3"/>
  <c r="F220" i="3"/>
  <c r="E220" i="3"/>
  <c r="D220" i="3"/>
  <c r="C220" i="3"/>
  <c r="B220" i="3"/>
  <c r="A220" i="3"/>
  <c r="F219" i="3"/>
  <c r="E219" i="3"/>
  <c r="D219" i="3"/>
  <c r="C219" i="3"/>
  <c r="B219" i="3"/>
  <c r="A219" i="3"/>
  <c r="F218" i="3"/>
  <c r="E218" i="3"/>
  <c r="D218" i="3"/>
  <c r="C218" i="3"/>
  <c r="B218" i="3"/>
  <c r="A218" i="3"/>
  <c r="F217" i="3"/>
  <c r="E217" i="3"/>
  <c r="D217" i="3"/>
  <c r="C217" i="3"/>
  <c r="B217" i="3"/>
  <c r="A217" i="3"/>
  <c r="F216" i="3"/>
  <c r="E216" i="3"/>
  <c r="D216" i="3"/>
  <c r="C216" i="3"/>
  <c r="B216" i="3"/>
  <c r="A216" i="3"/>
  <c r="F215" i="3"/>
  <c r="E215" i="3"/>
  <c r="D215" i="3"/>
  <c r="C215" i="3"/>
  <c r="B215" i="3"/>
  <c r="A215" i="3"/>
  <c r="F214" i="3"/>
  <c r="E214" i="3"/>
  <c r="D214" i="3"/>
  <c r="C214" i="3"/>
  <c r="B214" i="3"/>
  <c r="A214" i="3"/>
  <c r="F213" i="3"/>
  <c r="E213" i="3"/>
  <c r="D213" i="3"/>
  <c r="C213" i="3"/>
  <c r="B213" i="3"/>
  <c r="A213" i="3"/>
  <c r="F212" i="3"/>
  <c r="E212" i="3"/>
  <c r="D212" i="3"/>
  <c r="C212" i="3"/>
  <c r="B212" i="3"/>
  <c r="A212" i="3"/>
  <c r="F211" i="3"/>
  <c r="E211" i="3"/>
  <c r="D211" i="3"/>
  <c r="C211" i="3"/>
  <c r="B211" i="3"/>
  <c r="A211" i="3"/>
  <c r="F210" i="3"/>
  <c r="E210" i="3"/>
  <c r="D210" i="3"/>
  <c r="C210" i="3"/>
  <c r="B210" i="3"/>
  <c r="A210" i="3"/>
  <c r="F209" i="3"/>
  <c r="E209" i="3"/>
  <c r="D209" i="3"/>
  <c r="C209" i="3"/>
  <c r="B209" i="3"/>
  <c r="A209" i="3"/>
  <c r="F208" i="3"/>
  <c r="E208" i="3"/>
  <c r="D208" i="3"/>
  <c r="C208" i="3"/>
  <c r="B208" i="3"/>
  <c r="A208" i="3"/>
  <c r="F207" i="3"/>
  <c r="E207" i="3"/>
  <c r="D207" i="3"/>
  <c r="C207" i="3"/>
  <c r="B207" i="3"/>
  <c r="A207" i="3"/>
  <c r="F206" i="3"/>
  <c r="E206" i="3"/>
  <c r="D206" i="3"/>
  <c r="C206" i="3"/>
  <c r="B206" i="3"/>
  <c r="A206" i="3"/>
  <c r="F205" i="3"/>
  <c r="E205" i="3"/>
  <c r="D205" i="3"/>
  <c r="C205" i="3"/>
  <c r="B205" i="3"/>
  <c r="A205" i="3"/>
  <c r="F204" i="3"/>
  <c r="E204" i="3"/>
  <c r="D204" i="3"/>
  <c r="C204" i="3"/>
  <c r="B204" i="3"/>
  <c r="A204" i="3"/>
  <c r="F203" i="3"/>
  <c r="E203" i="3"/>
  <c r="D203" i="3"/>
  <c r="C203" i="3"/>
  <c r="B203" i="3"/>
  <c r="A203" i="3"/>
  <c r="F202" i="3"/>
  <c r="E202" i="3"/>
  <c r="D202" i="3"/>
  <c r="C202" i="3"/>
  <c r="B202" i="3"/>
  <c r="A202" i="3"/>
  <c r="F201" i="3"/>
  <c r="E201" i="3"/>
  <c r="D201" i="3"/>
  <c r="C201" i="3"/>
  <c r="B201" i="3"/>
  <c r="A201" i="3"/>
  <c r="F200" i="3"/>
  <c r="E200" i="3"/>
  <c r="D200" i="3"/>
  <c r="C200" i="3"/>
  <c r="B200" i="3"/>
  <c r="A200" i="3"/>
  <c r="F199" i="3"/>
  <c r="E199" i="3"/>
  <c r="D199" i="3"/>
  <c r="C199" i="3"/>
  <c r="B199" i="3"/>
  <c r="A199" i="3"/>
  <c r="F198" i="3"/>
  <c r="E198" i="3"/>
  <c r="D198" i="3"/>
  <c r="C198" i="3"/>
  <c r="B198" i="3"/>
  <c r="A198" i="3"/>
  <c r="F197" i="3"/>
  <c r="E197" i="3"/>
  <c r="D197" i="3"/>
  <c r="C197" i="3"/>
  <c r="B197" i="3"/>
  <c r="A197" i="3"/>
  <c r="F196" i="3"/>
  <c r="E196" i="3"/>
  <c r="D196" i="3"/>
  <c r="C196" i="3"/>
  <c r="B196" i="3"/>
  <c r="A196" i="3"/>
  <c r="F195" i="3"/>
  <c r="E195" i="3"/>
  <c r="D195" i="3"/>
  <c r="C195" i="3"/>
  <c r="B195" i="3"/>
  <c r="A195" i="3"/>
  <c r="F194" i="3"/>
  <c r="E194" i="3"/>
  <c r="D194" i="3"/>
  <c r="C194" i="3"/>
  <c r="B194" i="3"/>
  <c r="A194" i="3"/>
  <c r="F193" i="3"/>
  <c r="E193" i="3"/>
  <c r="D193" i="3"/>
  <c r="C193" i="3"/>
  <c r="B193" i="3"/>
  <c r="A193" i="3"/>
  <c r="F192" i="3"/>
  <c r="E192" i="3"/>
  <c r="D192" i="3"/>
  <c r="C192" i="3"/>
  <c r="B192" i="3"/>
  <c r="A192" i="3"/>
  <c r="F191" i="3"/>
  <c r="E191" i="3"/>
  <c r="D191" i="3"/>
  <c r="C191" i="3"/>
  <c r="B191" i="3"/>
  <c r="A191" i="3"/>
  <c r="F190" i="3"/>
  <c r="E190" i="3"/>
  <c r="D190" i="3"/>
  <c r="C190" i="3"/>
  <c r="B190" i="3"/>
  <c r="A190" i="3"/>
  <c r="F189" i="3"/>
  <c r="E189" i="3"/>
  <c r="D189" i="3"/>
  <c r="C189" i="3"/>
  <c r="B189" i="3"/>
  <c r="A189" i="3"/>
  <c r="F188" i="3"/>
  <c r="E188" i="3"/>
  <c r="D188" i="3"/>
  <c r="C188" i="3"/>
  <c r="B188" i="3"/>
  <c r="A188" i="3"/>
  <c r="F187" i="3"/>
  <c r="E187" i="3"/>
  <c r="D187" i="3"/>
  <c r="C187" i="3"/>
  <c r="B187" i="3"/>
  <c r="A187" i="3"/>
  <c r="F186" i="3"/>
  <c r="E186" i="3"/>
  <c r="D186" i="3"/>
  <c r="C186" i="3"/>
  <c r="B186" i="3"/>
  <c r="A186" i="3"/>
  <c r="F185" i="3"/>
  <c r="E185" i="3"/>
  <c r="D185" i="3"/>
  <c r="C185" i="3"/>
  <c r="B185" i="3"/>
  <c r="A185" i="3"/>
  <c r="F184" i="3"/>
  <c r="E184" i="3"/>
  <c r="D184" i="3"/>
  <c r="C184" i="3"/>
  <c r="B184" i="3"/>
  <c r="A184" i="3"/>
  <c r="F183" i="3"/>
  <c r="E183" i="3"/>
  <c r="D183" i="3"/>
  <c r="C183" i="3"/>
  <c r="B183" i="3"/>
  <c r="A183" i="3"/>
  <c r="F182" i="3"/>
  <c r="E182" i="3"/>
  <c r="D182" i="3"/>
  <c r="C182" i="3"/>
  <c r="B182" i="3"/>
  <c r="A182" i="3"/>
  <c r="F181" i="3"/>
  <c r="E181" i="3"/>
  <c r="D181" i="3"/>
  <c r="C181" i="3"/>
  <c r="B181" i="3"/>
  <c r="A181" i="3"/>
  <c r="F180" i="3"/>
  <c r="E180" i="3"/>
  <c r="D180" i="3"/>
  <c r="C180" i="3"/>
  <c r="B180" i="3"/>
  <c r="A180" i="3"/>
  <c r="F179" i="3"/>
  <c r="E179" i="3"/>
  <c r="D179" i="3"/>
  <c r="C179" i="3"/>
  <c r="B179" i="3"/>
  <c r="A179" i="3"/>
  <c r="F178" i="3"/>
  <c r="E178" i="3"/>
  <c r="D178" i="3"/>
  <c r="C178" i="3"/>
  <c r="B178" i="3"/>
  <c r="A178" i="3"/>
  <c r="F177" i="3"/>
  <c r="E177" i="3"/>
  <c r="D177" i="3"/>
  <c r="C177" i="3"/>
  <c r="B177" i="3"/>
  <c r="A177" i="3"/>
  <c r="F176" i="3"/>
  <c r="E176" i="3"/>
  <c r="D176" i="3"/>
  <c r="C176" i="3"/>
  <c r="B176" i="3"/>
  <c r="A176" i="3"/>
  <c r="F175" i="3"/>
  <c r="E175" i="3"/>
  <c r="D175" i="3"/>
  <c r="C175" i="3"/>
  <c r="B175" i="3"/>
  <c r="A175" i="3"/>
  <c r="F174" i="3"/>
  <c r="E174" i="3"/>
  <c r="D174" i="3"/>
  <c r="C174" i="3"/>
  <c r="B174" i="3"/>
  <c r="A174" i="3"/>
  <c r="F173" i="3"/>
  <c r="E173" i="3"/>
  <c r="D173" i="3"/>
  <c r="C173" i="3"/>
  <c r="B173" i="3"/>
  <c r="A173" i="3"/>
  <c r="F172" i="3"/>
  <c r="E172" i="3"/>
  <c r="D172" i="3"/>
  <c r="C172" i="3"/>
  <c r="B172" i="3"/>
  <c r="A172" i="3"/>
  <c r="F171" i="3"/>
  <c r="E171" i="3"/>
  <c r="D171" i="3"/>
  <c r="C171" i="3"/>
  <c r="B171" i="3"/>
  <c r="A171" i="3"/>
  <c r="F170" i="3"/>
  <c r="E170" i="3"/>
  <c r="D170" i="3"/>
  <c r="C170" i="3"/>
  <c r="B170" i="3"/>
  <c r="A170" i="3"/>
  <c r="F169" i="3"/>
  <c r="E169" i="3"/>
  <c r="D169" i="3"/>
  <c r="C169" i="3"/>
  <c r="B169" i="3"/>
  <c r="A169" i="3"/>
  <c r="F168" i="3"/>
  <c r="E168" i="3"/>
  <c r="D168" i="3"/>
  <c r="C168" i="3"/>
  <c r="B168" i="3"/>
  <c r="A168" i="3"/>
  <c r="F167" i="3"/>
  <c r="E167" i="3"/>
  <c r="D167" i="3"/>
  <c r="C167" i="3"/>
  <c r="B167" i="3"/>
  <c r="A167" i="3"/>
  <c r="F166" i="3"/>
  <c r="E166" i="3"/>
  <c r="D166" i="3"/>
  <c r="C166" i="3"/>
  <c r="B166" i="3"/>
  <c r="A166" i="3"/>
  <c r="F165" i="3"/>
  <c r="E165" i="3"/>
  <c r="D165" i="3"/>
  <c r="C165" i="3"/>
  <c r="B165" i="3"/>
  <c r="A165" i="3"/>
  <c r="F164" i="3"/>
  <c r="E164" i="3"/>
  <c r="D164" i="3"/>
  <c r="C164" i="3"/>
  <c r="B164" i="3"/>
  <c r="A164" i="3"/>
  <c r="F163" i="3"/>
  <c r="E163" i="3"/>
  <c r="D163" i="3"/>
  <c r="C163" i="3"/>
  <c r="B163" i="3"/>
  <c r="A163" i="3"/>
  <c r="F162" i="3"/>
  <c r="E162" i="3"/>
  <c r="D162" i="3"/>
  <c r="C162" i="3"/>
  <c r="B162" i="3"/>
  <c r="A162" i="3"/>
  <c r="F161" i="3"/>
  <c r="E161" i="3"/>
  <c r="D161" i="3"/>
  <c r="C161" i="3"/>
  <c r="B161" i="3"/>
  <c r="A161" i="3"/>
  <c r="F160" i="3"/>
  <c r="E160" i="3"/>
  <c r="D160" i="3"/>
  <c r="C160" i="3"/>
  <c r="B160" i="3"/>
  <c r="A160" i="3"/>
  <c r="F159" i="3"/>
  <c r="E159" i="3"/>
  <c r="D159" i="3"/>
  <c r="C159" i="3"/>
  <c r="B159" i="3"/>
  <c r="A159" i="3"/>
  <c r="F158" i="3"/>
  <c r="E158" i="3"/>
  <c r="D158" i="3"/>
  <c r="C158" i="3"/>
  <c r="B158" i="3"/>
  <c r="A158" i="3"/>
  <c r="F157" i="3"/>
  <c r="E157" i="3"/>
  <c r="D157" i="3"/>
  <c r="C157" i="3"/>
  <c r="B157" i="3"/>
  <c r="A157" i="3"/>
  <c r="F156" i="3"/>
  <c r="E156" i="3"/>
  <c r="D156" i="3"/>
  <c r="C156" i="3"/>
  <c r="B156" i="3"/>
  <c r="A156" i="3"/>
  <c r="F155" i="3"/>
  <c r="E155" i="3"/>
  <c r="D155" i="3"/>
  <c r="C155" i="3"/>
  <c r="B155" i="3"/>
  <c r="A155" i="3"/>
  <c r="F154" i="3"/>
  <c r="E154" i="3"/>
  <c r="D154" i="3"/>
  <c r="C154" i="3"/>
  <c r="B154" i="3"/>
  <c r="A154" i="3"/>
  <c r="F153" i="3"/>
  <c r="E153" i="3"/>
  <c r="D153" i="3"/>
  <c r="C153" i="3"/>
  <c r="B153" i="3"/>
  <c r="A153" i="3"/>
  <c r="F152" i="3"/>
  <c r="E152" i="3"/>
  <c r="D152" i="3"/>
  <c r="C152" i="3"/>
  <c r="B152" i="3"/>
  <c r="A152" i="3"/>
  <c r="F151" i="3"/>
  <c r="E151" i="3"/>
  <c r="D151" i="3"/>
  <c r="C151" i="3"/>
  <c r="B151" i="3"/>
  <c r="A151" i="3"/>
  <c r="F150" i="3"/>
  <c r="E150" i="3"/>
  <c r="D150" i="3"/>
  <c r="C150" i="3"/>
  <c r="B150" i="3"/>
  <c r="A150" i="3"/>
  <c r="F149" i="3"/>
  <c r="E149" i="3"/>
  <c r="D149" i="3"/>
  <c r="C149" i="3"/>
  <c r="B149" i="3"/>
  <c r="A149" i="3"/>
  <c r="F148" i="3"/>
  <c r="E148" i="3"/>
  <c r="D148" i="3"/>
  <c r="C148" i="3"/>
  <c r="B148" i="3"/>
  <c r="A148" i="3"/>
  <c r="F147" i="3"/>
  <c r="E147" i="3"/>
  <c r="D147" i="3"/>
  <c r="C147" i="3"/>
  <c r="B147" i="3"/>
  <c r="A147" i="3"/>
  <c r="F146" i="3"/>
  <c r="E146" i="3"/>
  <c r="D146" i="3"/>
  <c r="C146" i="3"/>
  <c r="B146" i="3"/>
  <c r="A146" i="3"/>
  <c r="F145" i="3"/>
  <c r="E145" i="3"/>
  <c r="D145" i="3"/>
  <c r="C145" i="3"/>
  <c r="B145" i="3"/>
  <c r="A145" i="3"/>
  <c r="F144" i="3"/>
  <c r="E144" i="3"/>
  <c r="D144" i="3"/>
  <c r="C144" i="3"/>
  <c r="B144" i="3"/>
  <c r="A144" i="3"/>
  <c r="F143" i="3"/>
  <c r="E143" i="3"/>
  <c r="D143" i="3"/>
  <c r="C143" i="3"/>
  <c r="B143" i="3"/>
  <c r="A143" i="3"/>
  <c r="F142" i="3"/>
  <c r="E142" i="3"/>
  <c r="D142" i="3"/>
  <c r="C142" i="3"/>
  <c r="B142" i="3"/>
  <c r="A142" i="3"/>
  <c r="F141" i="3"/>
  <c r="E141" i="3"/>
  <c r="D141" i="3"/>
  <c r="C141" i="3"/>
  <c r="B141" i="3"/>
  <c r="A141" i="3"/>
  <c r="F140" i="3"/>
  <c r="E140" i="3"/>
  <c r="D140" i="3"/>
  <c r="C140" i="3"/>
  <c r="B140" i="3"/>
  <c r="A140" i="3"/>
  <c r="F139" i="3"/>
  <c r="E139" i="3"/>
  <c r="D139" i="3"/>
  <c r="C139" i="3"/>
  <c r="B139" i="3"/>
  <c r="A139" i="3"/>
  <c r="F138" i="3"/>
  <c r="E138" i="3"/>
  <c r="D138" i="3"/>
  <c r="C138" i="3"/>
  <c r="B138" i="3"/>
  <c r="A138" i="3"/>
  <c r="F137" i="3"/>
  <c r="E137" i="3"/>
  <c r="D137" i="3"/>
  <c r="C137" i="3"/>
  <c r="B137" i="3"/>
  <c r="A137" i="3"/>
  <c r="F136" i="3"/>
  <c r="E136" i="3"/>
  <c r="D136" i="3"/>
  <c r="C136" i="3"/>
  <c r="B136" i="3"/>
  <c r="A136" i="3"/>
  <c r="F135" i="3"/>
  <c r="E135" i="3"/>
  <c r="D135" i="3"/>
  <c r="C135" i="3"/>
  <c r="B135" i="3"/>
  <c r="A135" i="3"/>
  <c r="F134" i="3"/>
  <c r="E134" i="3"/>
  <c r="D134" i="3"/>
  <c r="C134" i="3"/>
  <c r="B134" i="3"/>
  <c r="A134" i="3"/>
  <c r="F133" i="3"/>
  <c r="E133" i="3"/>
  <c r="D133" i="3"/>
  <c r="C133" i="3"/>
  <c r="B133" i="3"/>
  <c r="A133" i="3"/>
  <c r="F132" i="3"/>
  <c r="E132" i="3"/>
  <c r="D132" i="3"/>
  <c r="C132" i="3"/>
  <c r="B132" i="3"/>
  <c r="A132" i="3"/>
  <c r="F131" i="3"/>
  <c r="E131" i="3"/>
  <c r="D131" i="3"/>
  <c r="C131" i="3"/>
  <c r="B131" i="3"/>
  <c r="A131" i="3"/>
  <c r="F130" i="3"/>
  <c r="E130" i="3"/>
  <c r="D130" i="3"/>
  <c r="C130" i="3"/>
  <c r="B130" i="3"/>
  <c r="A130" i="3"/>
  <c r="F129" i="3"/>
  <c r="E129" i="3"/>
  <c r="D129" i="3"/>
  <c r="C129" i="3"/>
  <c r="B129" i="3"/>
  <c r="A129" i="3"/>
  <c r="F128" i="3"/>
  <c r="E128" i="3"/>
  <c r="D128" i="3"/>
  <c r="C128" i="3"/>
  <c r="B128" i="3"/>
  <c r="A128" i="3"/>
  <c r="F127" i="3"/>
  <c r="E127" i="3"/>
  <c r="D127" i="3"/>
  <c r="C127" i="3"/>
  <c r="B127" i="3"/>
  <c r="A127" i="3"/>
  <c r="F126" i="3"/>
  <c r="E126" i="3"/>
  <c r="D126" i="3"/>
  <c r="C126" i="3"/>
  <c r="B126" i="3"/>
  <c r="A126" i="3"/>
  <c r="F125" i="3"/>
  <c r="E125" i="3"/>
  <c r="D125" i="3"/>
  <c r="C125" i="3"/>
  <c r="B125" i="3"/>
  <c r="A125" i="3"/>
  <c r="F124" i="3"/>
  <c r="E124" i="3"/>
  <c r="D124" i="3"/>
  <c r="C124" i="3"/>
  <c r="B124" i="3"/>
  <c r="A124" i="3"/>
  <c r="F123" i="3"/>
  <c r="E123" i="3"/>
  <c r="D123" i="3"/>
  <c r="C123" i="3"/>
  <c r="B123" i="3"/>
  <c r="A123" i="3"/>
  <c r="F122" i="3"/>
  <c r="E122" i="3"/>
  <c r="D122" i="3"/>
  <c r="C122" i="3"/>
  <c r="B122" i="3"/>
  <c r="A122" i="3"/>
  <c r="F121" i="3"/>
  <c r="E121" i="3"/>
  <c r="D121" i="3"/>
  <c r="C121" i="3"/>
  <c r="B121" i="3"/>
  <c r="A121" i="3"/>
  <c r="F120" i="3"/>
  <c r="E120" i="3"/>
  <c r="D120" i="3"/>
  <c r="C120" i="3"/>
  <c r="B120" i="3"/>
  <c r="A120" i="3"/>
  <c r="F119" i="3"/>
  <c r="E119" i="3"/>
  <c r="D119" i="3"/>
  <c r="C119" i="3"/>
  <c r="B119" i="3"/>
  <c r="A119" i="3"/>
  <c r="F118" i="3"/>
  <c r="E118" i="3"/>
  <c r="D118" i="3"/>
  <c r="C118" i="3"/>
  <c r="B118" i="3"/>
  <c r="A118" i="3"/>
  <c r="F117" i="3"/>
  <c r="E117" i="3"/>
  <c r="D117" i="3"/>
  <c r="C117" i="3"/>
  <c r="B117" i="3"/>
  <c r="A117" i="3"/>
  <c r="F116" i="3"/>
  <c r="E116" i="3"/>
  <c r="D116" i="3"/>
  <c r="C116" i="3"/>
  <c r="B116" i="3"/>
  <c r="A116" i="3"/>
  <c r="F115" i="3"/>
  <c r="E115" i="3"/>
  <c r="D115" i="3"/>
  <c r="C115" i="3"/>
  <c r="B115" i="3"/>
  <c r="A115" i="3"/>
  <c r="F114" i="3"/>
  <c r="E114" i="3"/>
  <c r="D114" i="3"/>
  <c r="C114" i="3"/>
  <c r="B114" i="3"/>
  <c r="A114" i="3"/>
  <c r="F113" i="3"/>
  <c r="E113" i="3"/>
  <c r="D113" i="3"/>
  <c r="C113" i="3"/>
  <c r="B113" i="3"/>
  <c r="A113" i="3"/>
  <c r="F112" i="3"/>
  <c r="E112" i="3"/>
  <c r="D112" i="3"/>
  <c r="C112" i="3"/>
  <c r="B112" i="3"/>
  <c r="A112" i="3"/>
  <c r="F111" i="3"/>
  <c r="E111" i="3"/>
  <c r="D111" i="3"/>
  <c r="C111" i="3"/>
  <c r="B111" i="3"/>
  <c r="A111" i="3"/>
  <c r="F110" i="3"/>
  <c r="E110" i="3"/>
  <c r="D110" i="3"/>
  <c r="C110" i="3"/>
  <c r="B110" i="3"/>
  <c r="A110" i="3"/>
  <c r="F109" i="3"/>
  <c r="E109" i="3"/>
  <c r="D109" i="3"/>
  <c r="C109" i="3"/>
  <c r="B109" i="3"/>
  <c r="A109" i="3"/>
  <c r="F108" i="3"/>
  <c r="E108" i="3"/>
  <c r="D108" i="3"/>
  <c r="C108" i="3"/>
  <c r="B108" i="3"/>
  <c r="A108" i="3"/>
  <c r="F107" i="3"/>
  <c r="E107" i="3"/>
  <c r="D107" i="3"/>
  <c r="C107" i="3"/>
  <c r="B107" i="3"/>
  <c r="A107" i="3"/>
  <c r="F106" i="3"/>
  <c r="E106" i="3"/>
  <c r="D106" i="3"/>
  <c r="C106" i="3"/>
  <c r="B106" i="3"/>
  <c r="A106" i="3"/>
  <c r="F105" i="3"/>
  <c r="E105" i="3"/>
  <c r="D105" i="3"/>
  <c r="C105" i="3"/>
  <c r="B105" i="3"/>
  <c r="A105" i="3"/>
  <c r="F104" i="3"/>
  <c r="E104" i="3"/>
  <c r="D104" i="3"/>
  <c r="C104" i="3"/>
  <c r="B104" i="3"/>
  <c r="A104" i="3"/>
  <c r="F103" i="3"/>
  <c r="E103" i="3"/>
  <c r="D103" i="3"/>
  <c r="C103" i="3"/>
  <c r="B103" i="3"/>
  <c r="A103" i="3"/>
  <c r="F102" i="3"/>
  <c r="E102" i="3"/>
  <c r="D102" i="3"/>
  <c r="C102" i="3"/>
  <c r="B102" i="3"/>
  <c r="A102" i="3"/>
  <c r="F101" i="3"/>
  <c r="E101" i="3"/>
  <c r="D101" i="3"/>
  <c r="C101" i="3"/>
  <c r="B101" i="3"/>
  <c r="A101" i="3"/>
  <c r="F100" i="3"/>
  <c r="E100" i="3"/>
  <c r="D100" i="3"/>
  <c r="C100" i="3"/>
  <c r="B100" i="3"/>
  <c r="A100" i="3"/>
  <c r="F99" i="3"/>
  <c r="E99" i="3"/>
  <c r="D99" i="3"/>
  <c r="C99" i="3"/>
  <c r="B99" i="3"/>
  <c r="A99" i="3"/>
  <c r="F98" i="3"/>
  <c r="E98" i="3"/>
  <c r="D98" i="3"/>
  <c r="C98" i="3"/>
  <c r="B98" i="3"/>
  <c r="A98" i="3"/>
  <c r="F97" i="3"/>
  <c r="E97" i="3"/>
  <c r="D97" i="3"/>
  <c r="C97" i="3"/>
  <c r="B97" i="3"/>
  <c r="A97" i="3"/>
  <c r="F96" i="3"/>
  <c r="E96" i="3"/>
  <c r="D96" i="3"/>
  <c r="C96" i="3"/>
  <c r="B96" i="3"/>
  <c r="A96" i="3"/>
  <c r="F95" i="3"/>
  <c r="E95" i="3"/>
  <c r="D95" i="3"/>
  <c r="C95" i="3"/>
  <c r="B95" i="3"/>
  <c r="A95" i="3"/>
  <c r="F94" i="3"/>
  <c r="E94" i="3"/>
  <c r="D94" i="3"/>
  <c r="C94" i="3"/>
  <c r="B94" i="3"/>
  <c r="A94" i="3"/>
  <c r="F93" i="3"/>
  <c r="E93" i="3"/>
  <c r="D93" i="3"/>
  <c r="C93" i="3"/>
  <c r="B93" i="3"/>
  <c r="A93" i="3"/>
  <c r="F92" i="3"/>
  <c r="E92" i="3"/>
  <c r="D92" i="3"/>
  <c r="C92" i="3"/>
  <c r="B92" i="3"/>
  <c r="A92" i="3"/>
  <c r="F91" i="3"/>
  <c r="E91" i="3"/>
  <c r="D91" i="3"/>
  <c r="C91" i="3"/>
  <c r="B91" i="3"/>
  <c r="A91" i="3"/>
  <c r="F90" i="3"/>
  <c r="E90" i="3"/>
  <c r="D90" i="3"/>
  <c r="C90" i="3"/>
  <c r="B90" i="3"/>
  <c r="A90" i="3"/>
  <c r="F89" i="3"/>
  <c r="E89" i="3"/>
  <c r="D89" i="3"/>
  <c r="C89" i="3"/>
  <c r="B89" i="3"/>
  <c r="A89" i="3"/>
  <c r="F88" i="3"/>
  <c r="E88" i="3"/>
  <c r="D88" i="3"/>
  <c r="C88" i="3"/>
  <c r="B88" i="3"/>
  <c r="A88" i="3"/>
  <c r="F87" i="3"/>
  <c r="E87" i="3"/>
  <c r="D87" i="3"/>
  <c r="C87" i="3"/>
  <c r="B87" i="3"/>
  <c r="A87" i="3"/>
  <c r="F86" i="3"/>
  <c r="E86" i="3"/>
  <c r="D86" i="3"/>
  <c r="C86" i="3"/>
  <c r="B86" i="3"/>
  <c r="A86" i="3"/>
  <c r="F85" i="3"/>
  <c r="E85" i="3"/>
  <c r="D85" i="3"/>
  <c r="C85" i="3"/>
  <c r="B85" i="3"/>
  <c r="A85" i="3"/>
  <c r="F84" i="3"/>
  <c r="E84" i="3"/>
  <c r="D84" i="3"/>
  <c r="C84" i="3"/>
  <c r="B84" i="3"/>
  <c r="A84" i="3"/>
  <c r="F83" i="3"/>
  <c r="E83" i="3"/>
  <c r="D83" i="3"/>
  <c r="C83" i="3"/>
  <c r="B83" i="3"/>
  <c r="A83" i="3"/>
  <c r="F82" i="3"/>
  <c r="E82" i="3"/>
  <c r="D82" i="3"/>
  <c r="C82" i="3"/>
  <c r="B82" i="3"/>
  <c r="A82" i="3"/>
  <c r="F81" i="3"/>
  <c r="E81" i="3"/>
  <c r="D81" i="3"/>
  <c r="C81" i="3"/>
  <c r="B81" i="3"/>
  <c r="A81" i="3"/>
  <c r="F80" i="3"/>
  <c r="E80" i="3"/>
  <c r="D80" i="3"/>
  <c r="C80" i="3"/>
  <c r="B80" i="3"/>
  <c r="A80" i="3"/>
  <c r="F79" i="3"/>
  <c r="E79" i="3"/>
  <c r="D79" i="3"/>
  <c r="C79" i="3"/>
  <c r="B79" i="3"/>
  <c r="A79" i="3"/>
  <c r="F78" i="3"/>
  <c r="E78" i="3"/>
  <c r="D78" i="3"/>
  <c r="C78" i="3"/>
  <c r="B78" i="3"/>
  <c r="A78" i="3"/>
  <c r="F77" i="3"/>
  <c r="E77" i="3"/>
  <c r="D77" i="3"/>
  <c r="C77" i="3"/>
  <c r="B77" i="3"/>
  <c r="A77" i="3"/>
  <c r="F76" i="3"/>
  <c r="E76" i="3"/>
  <c r="D76" i="3"/>
  <c r="C76" i="3"/>
  <c r="B76" i="3"/>
  <c r="A76" i="3"/>
  <c r="F75" i="3"/>
  <c r="E75" i="3"/>
  <c r="D75" i="3"/>
  <c r="C75" i="3"/>
  <c r="B75" i="3"/>
  <c r="A75" i="3"/>
  <c r="F74" i="3"/>
  <c r="E74" i="3"/>
  <c r="D74" i="3"/>
  <c r="C74" i="3"/>
  <c r="B74" i="3"/>
  <c r="A74" i="3"/>
  <c r="F73" i="3"/>
  <c r="E73" i="3"/>
  <c r="D73" i="3"/>
  <c r="C73" i="3"/>
  <c r="B73" i="3"/>
  <c r="A73" i="3"/>
  <c r="F72" i="3"/>
  <c r="E72" i="3"/>
  <c r="D72" i="3"/>
  <c r="C72" i="3"/>
  <c r="B72" i="3"/>
  <c r="A72" i="3"/>
  <c r="F71" i="3"/>
  <c r="E71" i="3"/>
  <c r="D71" i="3"/>
  <c r="C71" i="3"/>
  <c r="B71" i="3"/>
  <c r="A71" i="3"/>
  <c r="F70" i="3"/>
  <c r="E70" i="3"/>
  <c r="D70" i="3"/>
  <c r="C70" i="3"/>
  <c r="B70" i="3"/>
  <c r="A70" i="3"/>
  <c r="F69" i="3"/>
  <c r="E69" i="3"/>
  <c r="D69" i="3"/>
  <c r="C69" i="3"/>
  <c r="B69" i="3"/>
  <c r="A69" i="3"/>
  <c r="F68" i="3"/>
  <c r="E68" i="3"/>
  <c r="D68" i="3"/>
  <c r="C68" i="3"/>
  <c r="B68" i="3"/>
  <c r="A68" i="3"/>
  <c r="F67" i="3"/>
  <c r="E67" i="3"/>
  <c r="D67" i="3"/>
  <c r="C67" i="3"/>
  <c r="B67" i="3"/>
  <c r="A67" i="3"/>
  <c r="F66" i="3"/>
  <c r="E66" i="3"/>
  <c r="D66" i="3"/>
  <c r="C66" i="3"/>
  <c r="B66" i="3"/>
  <c r="A66" i="3"/>
  <c r="F65" i="3"/>
  <c r="E65" i="3"/>
  <c r="D65" i="3"/>
  <c r="C65" i="3"/>
  <c r="B65" i="3"/>
  <c r="A65" i="3"/>
  <c r="F64" i="3"/>
  <c r="E64" i="3"/>
  <c r="D64" i="3"/>
  <c r="C64" i="3"/>
  <c r="B64" i="3"/>
  <c r="A64" i="3"/>
  <c r="F63" i="3"/>
  <c r="E63" i="3"/>
  <c r="D63" i="3"/>
  <c r="C63" i="3"/>
  <c r="B63" i="3"/>
  <c r="A63" i="3"/>
  <c r="F62" i="3"/>
  <c r="E62" i="3"/>
  <c r="D62" i="3"/>
  <c r="C62" i="3"/>
  <c r="B62" i="3"/>
  <c r="A62" i="3"/>
  <c r="F61" i="3"/>
  <c r="E61" i="3"/>
  <c r="D61" i="3"/>
  <c r="C61" i="3"/>
  <c r="B61" i="3"/>
  <c r="A61" i="3"/>
  <c r="F60" i="3"/>
  <c r="E60" i="3"/>
  <c r="D60" i="3"/>
  <c r="C60" i="3"/>
  <c r="B60" i="3"/>
  <c r="A60" i="3"/>
  <c r="F59" i="3"/>
  <c r="E59" i="3"/>
  <c r="D59" i="3"/>
  <c r="C59" i="3"/>
  <c r="B59" i="3"/>
  <c r="A59" i="3"/>
  <c r="F58" i="3"/>
  <c r="E58" i="3"/>
  <c r="D58" i="3"/>
  <c r="C58" i="3"/>
  <c r="B58" i="3"/>
  <c r="A58" i="3"/>
  <c r="F57" i="3"/>
  <c r="E57" i="3"/>
  <c r="D57" i="3"/>
  <c r="C57" i="3"/>
  <c r="B57" i="3"/>
  <c r="A57" i="3"/>
  <c r="F56" i="3"/>
  <c r="E56" i="3"/>
  <c r="D56" i="3"/>
  <c r="C56" i="3"/>
  <c r="B56" i="3"/>
  <c r="A56" i="3"/>
  <c r="F55" i="3"/>
  <c r="E55" i="3"/>
  <c r="D55" i="3"/>
  <c r="C55" i="3"/>
  <c r="B55" i="3"/>
  <c r="A55" i="3"/>
  <c r="F54" i="3"/>
  <c r="E54" i="3"/>
  <c r="D54" i="3"/>
  <c r="C54" i="3"/>
  <c r="B54" i="3"/>
  <c r="A54" i="3"/>
  <c r="F53" i="3"/>
  <c r="E53" i="3"/>
  <c r="D53" i="3"/>
  <c r="C53" i="3"/>
  <c r="B53" i="3"/>
  <c r="A53" i="3"/>
  <c r="F52" i="3"/>
  <c r="E52" i="3"/>
  <c r="D52" i="3"/>
  <c r="C52" i="3"/>
  <c r="B52" i="3"/>
  <c r="A52" i="3"/>
  <c r="F51" i="3"/>
  <c r="E51" i="3"/>
  <c r="D51" i="3"/>
  <c r="C51" i="3"/>
  <c r="B51" i="3"/>
  <c r="A51" i="3"/>
  <c r="F50" i="3"/>
  <c r="E50" i="3"/>
  <c r="D50" i="3"/>
  <c r="C50" i="3"/>
  <c r="B50" i="3"/>
  <c r="A50" i="3"/>
  <c r="F49" i="3"/>
  <c r="E49" i="3"/>
  <c r="D49" i="3"/>
  <c r="C49" i="3"/>
  <c r="B49" i="3"/>
  <c r="A49" i="3"/>
  <c r="F48" i="3"/>
  <c r="E48" i="3"/>
  <c r="D48" i="3"/>
  <c r="C48" i="3"/>
  <c r="B48" i="3"/>
  <c r="A48" i="3"/>
  <c r="F47" i="3"/>
  <c r="E47" i="3"/>
  <c r="D47" i="3"/>
  <c r="C47" i="3"/>
  <c r="B47" i="3"/>
  <c r="A47" i="3"/>
  <c r="F46" i="3"/>
  <c r="E46" i="3"/>
  <c r="D46" i="3"/>
  <c r="C46" i="3"/>
  <c r="B46" i="3"/>
  <c r="A46" i="3"/>
  <c r="F45" i="3"/>
  <c r="E45" i="3"/>
  <c r="D45" i="3"/>
  <c r="C45" i="3"/>
  <c r="B45" i="3"/>
  <c r="A45" i="3"/>
  <c r="F44" i="3"/>
  <c r="E44" i="3"/>
  <c r="D44" i="3"/>
  <c r="C44" i="3"/>
  <c r="B44" i="3"/>
  <c r="A44" i="3"/>
  <c r="F43" i="3"/>
  <c r="E43" i="3"/>
  <c r="D43" i="3"/>
  <c r="C43" i="3"/>
  <c r="B43" i="3"/>
  <c r="A43" i="3"/>
  <c r="F42" i="3"/>
  <c r="E42" i="3"/>
  <c r="D42" i="3"/>
  <c r="C42" i="3"/>
  <c r="B42" i="3"/>
  <c r="A42" i="3"/>
  <c r="F41" i="3"/>
  <c r="E41" i="3"/>
  <c r="D41" i="3"/>
  <c r="C41" i="3"/>
  <c r="B41" i="3"/>
  <c r="A41" i="3"/>
  <c r="F40" i="3"/>
  <c r="E40" i="3"/>
  <c r="D40" i="3"/>
  <c r="C40" i="3"/>
  <c r="B40" i="3"/>
  <c r="A40" i="3"/>
  <c r="F39" i="3"/>
  <c r="E39" i="3"/>
  <c r="D39" i="3"/>
  <c r="C39" i="3"/>
  <c r="B39" i="3"/>
  <c r="A39" i="3"/>
  <c r="F38" i="3"/>
  <c r="E38" i="3"/>
  <c r="D38" i="3"/>
  <c r="C38" i="3"/>
  <c r="B38" i="3"/>
  <c r="A38" i="3"/>
  <c r="F37" i="3"/>
  <c r="E37" i="3"/>
  <c r="D37" i="3"/>
  <c r="C37" i="3"/>
  <c r="B37" i="3"/>
  <c r="A37" i="3"/>
  <c r="F36" i="3"/>
  <c r="E36" i="3"/>
  <c r="D36" i="3"/>
  <c r="C36" i="3"/>
  <c r="B36" i="3"/>
  <c r="A36" i="3"/>
  <c r="F35" i="3"/>
  <c r="E35" i="3"/>
  <c r="D35" i="3"/>
  <c r="C35" i="3"/>
  <c r="B35" i="3"/>
  <c r="A35" i="3"/>
  <c r="F34" i="3"/>
  <c r="E34" i="3"/>
  <c r="D34" i="3"/>
  <c r="C34" i="3"/>
  <c r="B34" i="3"/>
  <c r="A34" i="3"/>
  <c r="F33" i="3"/>
  <c r="E33" i="3"/>
  <c r="D33" i="3"/>
  <c r="C33" i="3"/>
  <c r="B33" i="3"/>
  <c r="A33" i="3"/>
  <c r="F32" i="3"/>
  <c r="E32" i="3"/>
  <c r="D32" i="3"/>
  <c r="C32" i="3"/>
  <c r="B32" i="3"/>
  <c r="A32" i="3"/>
  <c r="F31" i="3"/>
  <c r="E31" i="3"/>
  <c r="D31" i="3"/>
  <c r="C31" i="3"/>
  <c r="B31" i="3"/>
  <c r="A31" i="3"/>
  <c r="F30" i="3"/>
  <c r="E30" i="3"/>
  <c r="D30" i="3"/>
  <c r="C30" i="3"/>
  <c r="B30" i="3"/>
  <c r="A30" i="3"/>
  <c r="F29" i="3"/>
  <c r="E29" i="3"/>
  <c r="D29" i="3"/>
  <c r="C29" i="3"/>
  <c r="B29" i="3"/>
  <c r="A29" i="3"/>
  <c r="F28" i="3"/>
  <c r="E28" i="3"/>
  <c r="D28" i="3"/>
  <c r="C28" i="3"/>
  <c r="B28" i="3"/>
  <c r="A28" i="3"/>
  <c r="F27" i="3"/>
  <c r="E27" i="3"/>
  <c r="D27" i="3"/>
  <c r="C27" i="3"/>
  <c r="B27" i="3"/>
  <c r="A27" i="3"/>
  <c r="F26" i="3"/>
  <c r="E26" i="3"/>
  <c r="D26" i="3"/>
  <c r="C26" i="3"/>
  <c r="B26" i="3"/>
  <c r="A26" i="3"/>
  <c r="F25" i="3"/>
  <c r="E25" i="3"/>
  <c r="D25" i="3"/>
  <c r="C25" i="3"/>
  <c r="B25" i="3"/>
  <c r="A25" i="3"/>
  <c r="F24" i="3"/>
  <c r="E24" i="3"/>
  <c r="D24" i="3"/>
  <c r="C24" i="3"/>
  <c r="B24" i="3"/>
  <c r="A24" i="3"/>
  <c r="F23" i="3"/>
  <c r="E23" i="3"/>
  <c r="D23" i="3"/>
  <c r="C23" i="3"/>
  <c r="B23" i="3"/>
  <c r="A23" i="3"/>
  <c r="F22" i="3"/>
  <c r="E22" i="3"/>
  <c r="D22" i="3"/>
  <c r="C22" i="3"/>
  <c r="B22" i="3"/>
  <c r="A22" i="3"/>
  <c r="F21" i="3"/>
  <c r="E21" i="3"/>
  <c r="D21" i="3"/>
  <c r="C21" i="3"/>
  <c r="B21" i="3"/>
  <c r="A21" i="3"/>
  <c r="F20" i="3"/>
  <c r="E20" i="3"/>
  <c r="D20" i="3"/>
  <c r="C20" i="3"/>
  <c r="B20" i="3"/>
  <c r="A20" i="3"/>
  <c r="F19" i="3"/>
  <c r="E19" i="3"/>
  <c r="D19" i="3"/>
  <c r="C19" i="3"/>
  <c r="B19" i="3"/>
  <c r="A19" i="3"/>
  <c r="F18" i="3"/>
  <c r="E18" i="3"/>
  <c r="D18" i="3"/>
  <c r="C18" i="3"/>
  <c r="B18" i="3"/>
  <c r="A18" i="3"/>
  <c r="F17" i="3"/>
  <c r="E17" i="3"/>
  <c r="D17" i="3"/>
  <c r="C17" i="3"/>
  <c r="B17" i="3"/>
  <c r="A17" i="3"/>
  <c r="F16" i="3"/>
  <c r="E16" i="3"/>
  <c r="D16" i="3"/>
  <c r="C16" i="3"/>
  <c r="B16" i="3"/>
  <c r="A16" i="3"/>
  <c r="F15" i="3"/>
  <c r="E15" i="3"/>
  <c r="D15" i="3"/>
  <c r="C15" i="3"/>
  <c r="B15" i="3"/>
  <c r="A15" i="3"/>
  <c r="F14" i="3"/>
  <c r="E14" i="3"/>
  <c r="D14" i="3"/>
  <c r="C14" i="3"/>
  <c r="B14" i="3"/>
  <c r="A14" i="3"/>
  <c r="F13" i="3"/>
  <c r="E13" i="3"/>
  <c r="D13" i="3"/>
  <c r="C13" i="3"/>
  <c r="B13" i="3"/>
  <c r="A13" i="3"/>
  <c r="F12" i="3"/>
  <c r="E12" i="3"/>
  <c r="D12" i="3"/>
  <c r="C12" i="3"/>
  <c r="B12" i="3"/>
  <c r="A12" i="3"/>
  <c r="F11" i="3"/>
  <c r="E11" i="3"/>
  <c r="D11" i="3"/>
  <c r="C11" i="3"/>
  <c r="B11" i="3"/>
  <c r="A11" i="3"/>
  <c r="F10" i="3"/>
  <c r="E10" i="3"/>
  <c r="D10" i="3"/>
  <c r="C10" i="3"/>
  <c r="B10" i="3"/>
  <c r="A10" i="3"/>
  <c r="F9" i="3"/>
  <c r="E9" i="3"/>
  <c r="D9" i="3"/>
  <c r="C9" i="3"/>
  <c r="B9" i="3"/>
  <c r="A9" i="3"/>
  <c r="F8" i="3"/>
  <c r="E8" i="3"/>
  <c r="D8" i="3"/>
  <c r="C8" i="3"/>
  <c r="B8" i="3"/>
  <c r="A8" i="3"/>
  <c r="F7" i="3"/>
  <c r="E7" i="3"/>
  <c r="D7" i="3"/>
  <c r="C7" i="3"/>
  <c r="B7" i="3"/>
  <c r="A7" i="3"/>
  <c r="F6" i="3"/>
  <c r="E6" i="3"/>
  <c r="D6" i="3"/>
  <c r="C6" i="3"/>
  <c r="B6" i="3"/>
  <c r="A6" i="3"/>
  <c r="F5" i="3"/>
  <c r="E5" i="3"/>
  <c r="D5" i="3"/>
  <c r="C5" i="3"/>
  <c r="B5" i="3"/>
  <c r="A5" i="3"/>
  <c r="F4" i="3"/>
  <c r="E4" i="3"/>
  <c r="D4" i="3"/>
  <c r="C4" i="3"/>
  <c r="B4" i="3"/>
  <c r="A4" i="3"/>
  <c r="F3" i="3"/>
  <c r="E3" i="3"/>
  <c r="D3" i="3"/>
  <c r="C3" i="3"/>
  <c r="B3" i="3"/>
  <c r="A3" i="3"/>
  <c r="F2" i="3"/>
  <c r="E2" i="3"/>
  <c r="D2" i="3"/>
  <c r="C2" i="3"/>
  <c r="B2" i="3"/>
  <c r="A2" i="3"/>
  <c r="J500" i="2"/>
  <c r="J499" i="2"/>
  <c r="K499" i="2" s="1"/>
  <c r="J498" i="2"/>
  <c r="K498" i="2" s="1"/>
  <c r="L498" i="2" s="1"/>
  <c r="E498" i="4" s="1"/>
  <c r="J497" i="2"/>
  <c r="J496" i="2"/>
  <c r="K496" i="2" s="1"/>
  <c r="J495" i="2"/>
  <c r="J494" i="2"/>
  <c r="J493" i="2"/>
  <c r="K493" i="2" s="1"/>
  <c r="J492" i="2"/>
  <c r="J491" i="2"/>
  <c r="K491" i="2" s="1"/>
  <c r="J490" i="2"/>
  <c r="K490" i="2" s="1"/>
  <c r="J489" i="2"/>
  <c r="K489" i="2" s="1"/>
  <c r="J488" i="2"/>
  <c r="J487" i="2"/>
  <c r="J486" i="2"/>
  <c r="J485" i="2"/>
  <c r="K485" i="2" s="1"/>
  <c r="J484" i="2"/>
  <c r="J483" i="2"/>
  <c r="K483" i="2" s="1"/>
  <c r="M483" i="2" s="1"/>
  <c r="F483" i="4" s="1"/>
  <c r="J482" i="2"/>
  <c r="J481" i="2"/>
  <c r="J480" i="2"/>
  <c r="K480" i="2" s="1"/>
  <c r="J479" i="2"/>
  <c r="K479" i="2" s="1"/>
  <c r="J478" i="2"/>
  <c r="J477" i="2"/>
  <c r="K477" i="2" s="1"/>
  <c r="Q477" i="2" s="1"/>
  <c r="J477" i="4" s="1"/>
  <c r="J476" i="2"/>
  <c r="J475" i="2"/>
  <c r="K475" i="2" s="1"/>
  <c r="J474" i="2"/>
  <c r="K474" i="2" s="1"/>
  <c r="Q474" i="2" s="1"/>
  <c r="J474" i="4" s="1"/>
  <c r="J473" i="2"/>
  <c r="K473" i="2" s="1"/>
  <c r="J472" i="2"/>
  <c r="K472" i="2" s="1"/>
  <c r="J471" i="2"/>
  <c r="J470" i="2"/>
  <c r="J469" i="2"/>
  <c r="K469" i="2" s="1"/>
  <c r="P469" i="2" s="1"/>
  <c r="I469" i="4" s="1"/>
  <c r="J468" i="2"/>
  <c r="J467" i="2"/>
  <c r="K467" i="2" s="1"/>
  <c r="J466" i="2"/>
  <c r="J465" i="2"/>
  <c r="J464" i="2"/>
  <c r="J463" i="2"/>
  <c r="K463" i="2" s="1"/>
  <c r="M463" i="2" s="1"/>
  <c r="F463" i="4" s="1"/>
  <c r="J462" i="2"/>
  <c r="J461" i="2"/>
  <c r="K461" i="2" s="1"/>
  <c r="P461" i="2" s="1"/>
  <c r="I461" i="4" s="1"/>
  <c r="J460" i="2"/>
  <c r="J459" i="2"/>
  <c r="K459" i="2" s="1"/>
  <c r="M459" i="2" s="1"/>
  <c r="F459" i="4" s="1"/>
  <c r="J458" i="2"/>
  <c r="K458" i="2" s="1"/>
  <c r="Q458" i="2" s="1"/>
  <c r="J458" i="4" s="1"/>
  <c r="J457" i="2"/>
  <c r="K457" i="2" s="1"/>
  <c r="P457" i="2" s="1"/>
  <c r="I457" i="4" s="1"/>
  <c r="J456" i="2"/>
  <c r="J455" i="2"/>
  <c r="J454" i="2"/>
  <c r="J453" i="2"/>
  <c r="K453" i="2" s="1"/>
  <c r="P453" i="2" s="1"/>
  <c r="I453" i="4" s="1"/>
  <c r="J452" i="2"/>
  <c r="J451" i="2"/>
  <c r="K451" i="2" s="1"/>
  <c r="L451" i="2" s="1"/>
  <c r="E451" i="4" s="1"/>
  <c r="J450" i="2"/>
  <c r="J449" i="2"/>
  <c r="J448" i="2"/>
  <c r="K448" i="2" s="1"/>
  <c r="J447" i="2"/>
  <c r="K447" i="2" s="1"/>
  <c r="Q447" i="2" s="1"/>
  <c r="J447" i="4" s="1"/>
  <c r="J446" i="2"/>
  <c r="J445" i="2"/>
  <c r="K445" i="2" s="1"/>
  <c r="P445" i="2" s="1"/>
  <c r="I445" i="4" s="1"/>
  <c r="J444" i="2"/>
  <c r="J443" i="2"/>
  <c r="K443" i="2" s="1"/>
  <c r="M443" i="2" s="1"/>
  <c r="F443" i="4" s="1"/>
  <c r="J442" i="2"/>
  <c r="K442" i="2" s="1"/>
  <c r="N442" i="2" s="1"/>
  <c r="G442" i="4" s="1"/>
  <c r="J441" i="2"/>
  <c r="K441" i="2" s="1"/>
  <c r="P441" i="2" s="1"/>
  <c r="I441" i="4" s="1"/>
  <c r="J440" i="2"/>
  <c r="J439" i="2"/>
  <c r="J438" i="2"/>
  <c r="J437" i="2"/>
  <c r="K437" i="2" s="1"/>
  <c r="J436" i="2"/>
  <c r="J435" i="2"/>
  <c r="K435" i="2" s="1"/>
  <c r="L435" i="2" s="1"/>
  <c r="E435" i="4" s="1"/>
  <c r="J434" i="2"/>
  <c r="J433" i="2"/>
  <c r="J432" i="2"/>
  <c r="J431" i="2"/>
  <c r="K431" i="2" s="1"/>
  <c r="J430" i="2"/>
  <c r="J429" i="2"/>
  <c r="K429" i="2" s="1"/>
  <c r="Q429" i="2" s="1"/>
  <c r="J429" i="4" s="1"/>
  <c r="J428" i="2"/>
  <c r="J427" i="2"/>
  <c r="K427" i="2" s="1"/>
  <c r="M427" i="2" s="1"/>
  <c r="F427" i="4" s="1"/>
  <c r="J426" i="2"/>
  <c r="K426" i="2" s="1"/>
  <c r="Q426" i="2" s="1"/>
  <c r="J426" i="4" s="1"/>
  <c r="J425" i="2"/>
  <c r="K425" i="2" s="1"/>
  <c r="J424" i="2"/>
  <c r="J423" i="2"/>
  <c r="J422" i="2"/>
  <c r="J421" i="2"/>
  <c r="K421" i="2" s="1"/>
  <c r="P421" i="2" s="1"/>
  <c r="I421" i="4" s="1"/>
  <c r="J420" i="2"/>
  <c r="J419" i="2"/>
  <c r="K419" i="2" s="1"/>
  <c r="L419" i="2" s="1"/>
  <c r="E419" i="4" s="1"/>
  <c r="J418" i="2"/>
  <c r="J417" i="2"/>
  <c r="J416" i="2"/>
  <c r="J415" i="2"/>
  <c r="K415" i="2" s="1"/>
  <c r="J414" i="2"/>
  <c r="J413" i="2"/>
  <c r="K413" i="2" s="1"/>
  <c r="J412" i="2"/>
  <c r="J411" i="2"/>
  <c r="K411" i="2" s="1"/>
  <c r="M411" i="2" s="1"/>
  <c r="F411" i="4" s="1"/>
  <c r="J410" i="2"/>
  <c r="K410" i="2" s="1"/>
  <c r="J409" i="2"/>
  <c r="K409" i="2" s="1"/>
  <c r="P409" i="2" s="1"/>
  <c r="I409" i="4" s="1"/>
  <c r="J408" i="2"/>
  <c r="J407" i="2"/>
  <c r="J406" i="2"/>
  <c r="J405" i="2"/>
  <c r="K405" i="2" s="1"/>
  <c r="J404" i="2"/>
  <c r="J403" i="2"/>
  <c r="K403" i="2" s="1"/>
  <c r="L403" i="2" s="1"/>
  <c r="E403" i="4" s="1"/>
  <c r="J402" i="2"/>
  <c r="J401" i="2"/>
  <c r="J400" i="2"/>
  <c r="J399" i="2"/>
  <c r="K399" i="2" s="1"/>
  <c r="J398" i="2"/>
  <c r="J397" i="2"/>
  <c r="K397" i="2" s="1"/>
  <c r="Q397" i="2" s="1"/>
  <c r="J397" i="4" s="1"/>
  <c r="J396" i="2"/>
  <c r="J395" i="2"/>
  <c r="K395" i="2" s="1"/>
  <c r="J394" i="2"/>
  <c r="K394" i="2" s="1"/>
  <c r="J393" i="2"/>
  <c r="K393" i="2" s="1"/>
  <c r="P393" i="2" s="1"/>
  <c r="I393" i="4" s="1"/>
  <c r="J392" i="2"/>
  <c r="K392" i="2" s="1"/>
  <c r="J391" i="2"/>
  <c r="J390" i="2"/>
  <c r="J389" i="2"/>
  <c r="K389" i="2" s="1"/>
  <c r="J388" i="2"/>
  <c r="J387" i="2"/>
  <c r="K387" i="2" s="1"/>
  <c r="M387" i="2" s="1"/>
  <c r="F387" i="4" s="1"/>
  <c r="J386" i="2"/>
  <c r="K386" i="2" s="1"/>
  <c r="J385" i="2"/>
  <c r="J384" i="2"/>
  <c r="K384" i="2" s="1"/>
  <c r="J383" i="2"/>
  <c r="J382" i="2"/>
  <c r="J381" i="2"/>
  <c r="K381" i="2" s="1"/>
  <c r="N381" i="2" s="1"/>
  <c r="G381" i="4" s="1"/>
  <c r="J380" i="2"/>
  <c r="J379" i="2"/>
  <c r="K379" i="2" s="1"/>
  <c r="J378" i="2"/>
  <c r="K378" i="2" s="1"/>
  <c r="J377" i="2"/>
  <c r="J376" i="2"/>
  <c r="J375" i="2"/>
  <c r="J374" i="2"/>
  <c r="J373" i="2"/>
  <c r="J372" i="2"/>
  <c r="J371" i="2"/>
  <c r="C371" i="4" s="1"/>
  <c r="J370" i="2"/>
  <c r="J369" i="2"/>
  <c r="J368" i="2"/>
  <c r="J367" i="2"/>
  <c r="J366" i="2"/>
  <c r="J365" i="2"/>
  <c r="C365" i="4" s="1"/>
  <c r="J364" i="2"/>
  <c r="J363" i="2"/>
  <c r="C363" i="4" s="1"/>
  <c r="J362" i="2"/>
  <c r="K362" i="2" s="1"/>
  <c r="L362" i="2" s="1"/>
  <c r="E362" i="4" s="1"/>
  <c r="J361" i="2"/>
  <c r="J360" i="2"/>
  <c r="J359" i="2"/>
  <c r="J358" i="2"/>
  <c r="J357" i="2"/>
  <c r="J356" i="2"/>
  <c r="J355" i="2"/>
  <c r="C355" i="4" s="1"/>
  <c r="J354" i="2"/>
  <c r="J353" i="2"/>
  <c r="J352" i="2"/>
  <c r="K352" i="2" s="1"/>
  <c r="J351" i="2"/>
  <c r="J350" i="2"/>
  <c r="J349" i="2"/>
  <c r="J348" i="2"/>
  <c r="J347" i="2"/>
  <c r="C347" i="4" s="1"/>
  <c r="J346" i="2"/>
  <c r="K346" i="2" s="1"/>
  <c r="L346" i="2" s="1"/>
  <c r="E346" i="4" s="1"/>
  <c r="J345" i="2"/>
  <c r="J344" i="2"/>
  <c r="J343" i="2"/>
  <c r="J342" i="2"/>
  <c r="J341" i="2"/>
  <c r="J340" i="2"/>
  <c r="J339" i="2"/>
  <c r="C339" i="4" s="1"/>
  <c r="J338" i="2"/>
  <c r="J337" i="2"/>
  <c r="C337" i="4" s="1"/>
  <c r="J336" i="2"/>
  <c r="J335" i="2"/>
  <c r="J334" i="2"/>
  <c r="G334" i="3" s="1"/>
  <c r="J333" i="2"/>
  <c r="J332" i="2"/>
  <c r="J331" i="2"/>
  <c r="C331" i="4" s="1"/>
  <c r="J330" i="2"/>
  <c r="C330" i="4" s="1"/>
  <c r="J329" i="2"/>
  <c r="J328" i="2"/>
  <c r="J327" i="2"/>
  <c r="C327" i="4" s="1"/>
  <c r="J326" i="2"/>
  <c r="J325" i="2"/>
  <c r="J324" i="2"/>
  <c r="G324" i="3" s="1"/>
  <c r="J323" i="2"/>
  <c r="C323" i="4" s="1"/>
  <c r="J322" i="2"/>
  <c r="K322" i="2" s="1"/>
  <c r="J321" i="2"/>
  <c r="C321" i="4" s="1"/>
  <c r="J320" i="2"/>
  <c r="J319" i="2"/>
  <c r="J318" i="2"/>
  <c r="G318" i="3" s="1"/>
  <c r="J317" i="2"/>
  <c r="J316" i="2"/>
  <c r="J315" i="2"/>
  <c r="K315" i="2" s="1"/>
  <c r="J314" i="2"/>
  <c r="C314" i="4" s="1"/>
  <c r="J313" i="2"/>
  <c r="J312" i="2"/>
  <c r="J311" i="2"/>
  <c r="C311" i="4" s="1"/>
  <c r="J310" i="2"/>
  <c r="J309" i="2"/>
  <c r="C309" i="4" s="1"/>
  <c r="J308" i="2"/>
  <c r="G308" i="3" s="1"/>
  <c r="J307" i="2"/>
  <c r="J306" i="2"/>
  <c r="K306" i="2" s="1"/>
  <c r="Q306" i="2" s="1"/>
  <c r="J306" i="4" s="1"/>
  <c r="J305" i="2"/>
  <c r="C305" i="4" s="1"/>
  <c r="J304" i="2"/>
  <c r="C304" i="4" s="1"/>
  <c r="J303" i="2"/>
  <c r="J302" i="2"/>
  <c r="G302" i="3" s="1"/>
  <c r="J301" i="2"/>
  <c r="J300" i="2"/>
  <c r="J299" i="2"/>
  <c r="C299" i="4" s="1"/>
  <c r="J298" i="2"/>
  <c r="C298" i="4" s="1"/>
  <c r="J297" i="2"/>
  <c r="J296" i="2"/>
  <c r="J295" i="2"/>
  <c r="C295" i="4" s="1"/>
  <c r="J294" i="2"/>
  <c r="J293" i="2"/>
  <c r="C293" i="4" s="1"/>
  <c r="J292" i="2"/>
  <c r="G292" i="3" s="1"/>
  <c r="J291" i="2"/>
  <c r="C291" i="4" s="1"/>
  <c r="J290" i="2"/>
  <c r="K290" i="2" s="1"/>
  <c r="J289" i="2"/>
  <c r="C289" i="4" s="1"/>
  <c r="J288" i="2"/>
  <c r="J287" i="2"/>
  <c r="J286" i="2"/>
  <c r="G286" i="3" s="1"/>
  <c r="J285" i="2"/>
  <c r="J284" i="2"/>
  <c r="J283" i="2"/>
  <c r="C283" i="4" s="1"/>
  <c r="J282" i="2"/>
  <c r="J281" i="2"/>
  <c r="J280" i="2"/>
  <c r="J279" i="2"/>
  <c r="C279" i="4" s="1"/>
  <c r="J278" i="2"/>
  <c r="J277" i="2"/>
  <c r="C277" i="4" s="1"/>
  <c r="J276" i="2"/>
  <c r="G276" i="3" s="1"/>
  <c r="J275" i="2"/>
  <c r="C275" i="4" s="1"/>
  <c r="J274" i="2"/>
  <c r="K274" i="2" s="1"/>
  <c r="Q274" i="2" s="1"/>
  <c r="J274" i="4" s="1"/>
  <c r="J273" i="2"/>
  <c r="C273" i="4" s="1"/>
  <c r="J272" i="2"/>
  <c r="J271" i="2"/>
  <c r="K271" i="2" s="1"/>
  <c r="J270" i="2"/>
  <c r="G270" i="3" s="1"/>
  <c r="J269" i="2"/>
  <c r="J268" i="2"/>
  <c r="J267" i="2"/>
  <c r="C267" i="4" s="1"/>
  <c r="J266" i="2"/>
  <c r="C266" i="4" s="1"/>
  <c r="J265" i="2"/>
  <c r="J264" i="2"/>
  <c r="J263" i="2"/>
  <c r="C263" i="4" s="1"/>
  <c r="J262" i="2"/>
  <c r="J261" i="2"/>
  <c r="K261" i="2" s="1"/>
  <c r="J260" i="2"/>
  <c r="G260" i="3" s="1"/>
  <c r="J259" i="2"/>
  <c r="J258" i="2"/>
  <c r="K258" i="2" s="1"/>
  <c r="J257" i="2"/>
  <c r="C257" i="4" s="1"/>
  <c r="J256" i="2"/>
  <c r="C256" i="4" s="1"/>
  <c r="J255" i="2"/>
  <c r="J254" i="2"/>
  <c r="G254" i="3" s="1"/>
  <c r="J253" i="2"/>
  <c r="C253" i="4" s="1"/>
  <c r="J252" i="2"/>
  <c r="J251" i="2"/>
  <c r="C251" i="4" s="1"/>
  <c r="J250" i="2"/>
  <c r="C250" i="4" s="1"/>
  <c r="J249" i="2"/>
  <c r="J248" i="2"/>
  <c r="J247" i="2"/>
  <c r="C247" i="4" s="1"/>
  <c r="J246" i="2"/>
  <c r="J245" i="2"/>
  <c r="C245" i="4" s="1"/>
  <c r="J244" i="2"/>
  <c r="G244" i="3" s="1"/>
  <c r="J243" i="2"/>
  <c r="J242" i="2"/>
  <c r="K242" i="2" s="1"/>
  <c r="Q242" i="2" s="1"/>
  <c r="J242" i="4" s="1"/>
  <c r="J241" i="2"/>
  <c r="C241" i="4" s="1"/>
  <c r="J240" i="2"/>
  <c r="C240" i="4" s="1"/>
  <c r="J239" i="2"/>
  <c r="K239" i="2" s="1"/>
  <c r="J238" i="2"/>
  <c r="G238" i="3" s="1"/>
  <c r="J237" i="2"/>
  <c r="J236" i="2"/>
  <c r="J235" i="2"/>
  <c r="J234" i="2"/>
  <c r="C234" i="4" s="1"/>
  <c r="J233" i="2"/>
  <c r="J232" i="2"/>
  <c r="J231" i="2"/>
  <c r="C231" i="4" s="1"/>
  <c r="J230" i="2"/>
  <c r="J229" i="2"/>
  <c r="C229" i="4" s="1"/>
  <c r="J228" i="2"/>
  <c r="G228" i="3" s="1"/>
  <c r="J227" i="2"/>
  <c r="K227" i="2" s="1"/>
  <c r="J226" i="2"/>
  <c r="K226" i="2" s="1"/>
  <c r="Q226" i="2" s="1"/>
  <c r="J226" i="4" s="1"/>
  <c r="J225" i="2"/>
  <c r="C225" i="4" s="1"/>
  <c r="J224" i="2"/>
  <c r="C224" i="4" s="1"/>
  <c r="J223" i="2"/>
  <c r="K223" i="2" s="1"/>
  <c r="J222" i="2"/>
  <c r="G222" i="3" s="1"/>
  <c r="J221" i="2"/>
  <c r="C221" i="4" s="1"/>
  <c r="J220" i="2"/>
  <c r="J219" i="2"/>
  <c r="J218" i="2"/>
  <c r="J217" i="2"/>
  <c r="J216" i="2"/>
  <c r="J215" i="2"/>
  <c r="J214" i="2"/>
  <c r="G214" i="3" s="1"/>
  <c r="J213" i="2"/>
  <c r="J212" i="2"/>
  <c r="G212" i="3" s="1"/>
  <c r="J211" i="2"/>
  <c r="K211" i="2" s="1"/>
  <c r="P211" i="2" s="1"/>
  <c r="I211" i="4" s="1"/>
  <c r="J210" i="2"/>
  <c r="K210" i="2" s="1"/>
  <c r="J209" i="2"/>
  <c r="K209" i="2" s="1"/>
  <c r="J208" i="2"/>
  <c r="G208" i="3" s="1"/>
  <c r="J207" i="2"/>
  <c r="J206" i="2"/>
  <c r="K206" i="2" s="1"/>
  <c r="J205" i="2"/>
  <c r="C205" i="4" s="1"/>
  <c r="J204" i="2"/>
  <c r="J203" i="2"/>
  <c r="J202" i="2"/>
  <c r="J201" i="2"/>
  <c r="J200" i="2"/>
  <c r="J199" i="2"/>
  <c r="J198" i="2"/>
  <c r="C198" i="4" s="1"/>
  <c r="J197" i="2"/>
  <c r="K197" i="2" s="1"/>
  <c r="N197" i="2" s="1"/>
  <c r="G197" i="4" s="1"/>
  <c r="J196" i="2"/>
  <c r="J195" i="2"/>
  <c r="C195" i="4" s="1"/>
  <c r="J194" i="2"/>
  <c r="J193" i="2"/>
  <c r="K193" i="2" s="1"/>
  <c r="J192" i="2"/>
  <c r="C192" i="4" s="1"/>
  <c r="J191" i="2"/>
  <c r="K191" i="2" s="1"/>
  <c r="Q191" i="2" s="1"/>
  <c r="J191" i="4" s="1"/>
  <c r="J190" i="2"/>
  <c r="J189" i="2"/>
  <c r="C189" i="4" s="1"/>
  <c r="J188" i="2"/>
  <c r="J187" i="2"/>
  <c r="C187" i="4" s="1"/>
  <c r="J186" i="2"/>
  <c r="J185" i="2"/>
  <c r="C102" i="4" l="1"/>
  <c r="C166" i="4"/>
  <c r="C127" i="4"/>
  <c r="C160" i="4"/>
  <c r="C171" i="4"/>
  <c r="C135" i="4"/>
  <c r="C157" i="4"/>
  <c r="C46" i="4"/>
  <c r="C111" i="4"/>
  <c r="C62" i="4"/>
  <c r="C126" i="4"/>
  <c r="C173" i="4"/>
  <c r="C179" i="4"/>
  <c r="C110" i="4"/>
  <c r="C143" i="4"/>
  <c r="C149" i="4"/>
  <c r="C119" i="4"/>
  <c r="L156" i="2"/>
  <c r="P180" i="2"/>
  <c r="P177" i="2"/>
  <c r="M173" i="2"/>
  <c r="M168" i="2"/>
  <c r="N164" i="2"/>
  <c r="M153" i="2"/>
  <c r="N180" i="2"/>
  <c r="N177" i="2"/>
  <c r="G177" i="4" s="1"/>
  <c r="P171" i="2"/>
  <c r="L168" i="2"/>
  <c r="P163" i="2"/>
  <c r="Q150" i="2"/>
  <c r="P179" i="2"/>
  <c r="M177" i="2"/>
  <c r="F177" i="4" s="1"/>
  <c r="L170" i="2"/>
  <c r="Q167" i="2"/>
  <c r="N163" i="2"/>
  <c r="N184" i="2"/>
  <c r="N179" i="2"/>
  <c r="N176" i="2"/>
  <c r="Q169" i="2"/>
  <c r="P167" i="2"/>
  <c r="M163" i="2"/>
  <c r="M179" i="2"/>
  <c r="M176" i="2"/>
  <c r="P169" i="2"/>
  <c r="M165" i="2"/>
  <c r="F165" i="4" s="1"/>
  <c r="L163" i="2"/>
  <c r="E163" i="4" s="1"/>
  <c r="Q142" i="2"/>
  <c r="Q182" i="2"/>
  <c r="L179" i="2"/>
  <c r="L176" i="2"/>
  <c r="N169" i="2"/>
  <c r="L165" i="2"/>
  <c r="P161" i="2"/>
  <c r="N156" i="2"/>
  <c r="M181" i="2"/>
  <c r="L178" i="2"/>
  <c r="E178" i="4" s="1"/>
  <c r="Q175" i="2"/>
  <c r="M169" i="2"/>
  <c r="Q164" i="2"/>
  <c r="N161" i="2"/>
  <c r="G161" i="4" s="1"/>
  <c r="M156" i="2"/>
  <c r="Q180" i="2"/>
  <c r="Q177" i="2"/>
  <c r="J177" i="4" s="1"/>
  <c r="P175" i="2"/>
  <c r="N168" i="2"/>
  <c r="P164" i="2"/>
  <c r="N160" i="2"/>
  <c r="L148" i="2"/>
  <c r="Q174" i="2"/>
  <c r="Q166" i="2"/>
  <c r="L162" i="2"/>
  <c r="L153" i="2"/>
  <c r="P147" i="2"/>
  <c r="M184" i="2"/>
  <c r="F184" i="4" s="1"/>
  <c r="P182" i="2"/>
  <c r="L181" i="2"/>
  <c r="P174" i="2"/>
  <c r="L173" i="2"/>
  <c r="N171" i="2"/>
  <c r="P166" i="2"/>
  <c r="Q161" i="2"/>
  <c r="M160" i="2"/>
  <c r="Q152" i="2"/>
  <c r="Q146" i="2"/>
  <c r="N182" i="2"/>
  <c r="N174" i="2"/>
  <c r="Q172" i="2"/>
  <c r="M171" i="2"/>
  <c r="F171" i="4" s="1"/>
  <c r="N166" i="2"/>
  <c r="L160" i="2"/>
  <c r="N152" i="2"/>
  <c r="P146" i="2"/>
  <c r="Q183" i="2"/>
  <c r="M182" i="2"/>
  <c r="M174" i="2"/>
  <c r="P172" i="2"/>
  <c r="L171" i="2"/>
  <c r="M166" i="2"/>
  <c r="Q159" i="2"/>
  <c r="Q154" i="2"/>
  <c r="N146" i="2"/>
  <c r="G146" i="4" s="1"/>
  <c r="P183" i="2"/>
  <c r="Q178" i="2"/>
  <c r="N172" i="2"/>
  <c r="Q170" i="2"/>
  <c r="Q162" i="2"/>
  <c r="M161" i="2"/>
  <c r="P159" i="2"/>
  <c r="I159" i="4" s="1"/>
  <c r="P154" i="2"/>
  <c r="L150" i="2"/>
  <c r="N183" i="2"/>
  <c r="Q181" i="2"/>
  <c r="M180" i="2"/>
  <c r="P178" i="2"/>
  <c r="I178" i="4" s="1"/>
  <c r="N175" i="2"/>
  <c r="Q173" i="2"/>
  <c r="M172" i="2"/>
  <c r="P170" i="2"/>
  <c r="N167" i="2"/>
  <c r="Q165" i="2"/>
  <c r="J165" i="4" s="1"/>
  <c r="M164" i="2"/>
  <c r="P162" i="2"/>
  <c r="N159" i="2"/>
  <c r="N154" i="2"/>
  <c r="N148" i="2"/>
  <c r="Q184" i="2"/>
  <c r="J184" i="4" s="1"/>
  <c r="M183" i="2"/>
  <c r="P181" i="2"/>
  <c r="N178" i="2"/>
  <c r="Q176" i="2"/>
  <c r="M175" i="2"/>
  <c r="P173" i="2"/>
  <c r="N170" i="2"/>
  <c r="Q168" i="2"/>
  <c r="M167" i="2"/>
  <c r="P165" i="2"/>
  <c r="I165" i="4" s="1"/>
  <c r="N162" i="2"/>
  <c r="Q160" i="2"/>
  <c r="M159" i="2"/>
  <c r="Q101" i="2"/>
  <c r="J101" i="4" s="1"/>
  <c r="L154" i="2"/>
  <c r="M148" i="2"/>
  <c r="P184" i="2"/>
  <c r="L159" i="2"/>
  <c r="E159" i="4" s="1"/>
  <c r="P108" i="2"/>
  <c r="Q113" i="2"/>
  <c r="L141" i="2"/>
  <c r="P134" i="2"/>
  <c r="M128" i="2"/>
  <c r="M158" i="2"/>
  <c r="P156" i="2"/>
  <c r="L155" i="2"/>
  <c r="E155" i="4" s="1"/>
  <c r="N153" i="2"/>
  <c r="Q151" i="2"/>
  <c r="J151" i="4" s="1"/>
  <c r="M150" i="2"/>
  <c r="P148" i="2"/>
  <c r="L147" i="2"/>
  <c r="N145" i="2"/>
  <c r="M143" i="2"/>
  <c r="Q136" i="2"/>
  <c r="P133" i="2"/>
  <c r="I133" i="4" s="1"/>
  <c r="M127" i="2"/>
  <c r="L158" i="2"/>
  <c r="P151" i="2"/>
  <c r="M145" i="2"/>
  <c r="Q121" i="2"/>
  <c r="J121" i="4" s="1"/>
  <c r="L143" i="2"/>
  <c r="P136" i="2"/>
  <c r="N133" i="2"/>
  <c r="G133" i="4" s="1"/>
  <c r="L127" i="2"/>
  <c r="Q157" i="2"/>
  <c r="N151" i="2"/>
  <c r="Q149" i="2"/>
  <c r="L145" i="2"/>
  <c r="N136" i="2"/>
  <c r="M133" i="2"/>
  <c r="F133" i="4" s="1"/>
  <c r="Q126" i="2"/>
  <c r="P157" i="2"/>
  <c r="M151" i="2"/>
  <c r="P149" i="2"/>
  <c r="Q144" i="2"/>
  <c r="P120" i="2"/>
  <c r="P142" i="2"/>
  <c r="M136" i="2"/>
  <c r="L133" i="2"/>
  <c r="P126" i="2"/>
  <c r="N157" i="2"/>
  <c r="Q155" i="2"/>
  <c r="P152" i="2"/>
  <c r="I152" i="4" s="1"/>
  <c r="N149" i="2"/>
  <c r="Q147" i="2"/>
  <c r="M146" i="2"/>
  <c r="F146" i="4" s="1"/>
  <c r="P144" i="2"/>
  <c r="L93" i="2"/>
  <c r="E93" i="4" s="1"/>
  <c r="Q118" i="2"/>
  <c r="P141" i="2"/>
  <c r="M135" i="2"/>
  <c r="Q128" i="2"/>
  <c r="Q158" i="2"/>
  <c r="M157" i="2"/>
  <c r="P155" i="2"/>
  <c r="M149" i="2"/>
  <c r="N144" i="2"/>
  <c r="L109" i="2"/>
  <c r="P118" i="2"/>
  <c r="N141" i="2"/>
  <c r="L135" i="2"/>
  <c r="P128" i="2"/>
  <c r="P158" i="2"/>
  <c r="N155" i="2"/>
  <c r="G155" i="4" s="1"/>
  <c r="Q153" i="2"/>
  <c r="M152" i="2"/>
  <c r="P150" i="2"/>
  <c r="N147" i="2"/>
  <c r="Q145" i="2"/>
  <c r="M144" i="2"/>
  <c r="Q108" i="2"/>
  <c r="N118" i="2"/>
  <c r="M141" i="2"/>
  <c r="Q134" i="2"/>
  <c r="N128" i="2"/>
  <c r="N86" i="2"/>
  <c r="M102" i="2"/>
  <c r="F102" i="4" s="1"/>
  <c r="L119" i="2"/>
  <c r="N143" i="2"/>
  <c r="M140" i="2"/>
  <c r="P138" i="2"/>
  <c r="L137" i="2"/>
  <c r="E137" i="4" s="1"/>
  <c r="N135" i="2"/>
  <c r="M132" i="2"/>
  <c r="F132" i="4" s="1"/>
  <c r="P130" i="2"/>
  <c r="L129" i="2"/>
  <c r="E129" i="4" s="1"/>
  <c r="N127" i="2"/>
  <c r="L140" i="2"/>
  <c r="N138" i="2"/>
  <c r="L132" i="2"/>
  <c r="E132" i="4" s="1"/>
  <c r="N130" i="2"/>
  <c r="Q139" i="2"/>
  <c r="J139" i="4" s="1"/>
  <c r="M138" i="2"/>
  <c r="Q131" i="2"/>
  <c r="J131" i="4" s="1"/>
  <c r="M130" i="2"/>
  <c r="P139" i="2"/>
  <c r="I139" i="4" s="1"/>
  <c r="L138" i="2"/>
  <c r="P131" i="2"/>
  <c r="L130" i="2"/>
  <c r="N139" i="2"/>
  <c r="G139" i="4" s="1"/>
  <c r="Q137" i="2"/>
  <c r="J137" i="4" s="1"/>
  <c r="N131" i="2"/>
  <c r="G131" i="4" s="1"/>
  <c r="Q129" i="2"/>
  <c r="M108" i="2"/>
  <c r="F108" i="4" s="1"/>
  <c r="N120" i="2"/>
  <c r="P113" i="2"/>
  <c r="N142" i="2"/>
  <c r="Q140" i="2"/>
  <c r="M139" i="2"/>
  <c r="F139" i="4" s="1"/>
  <c r="P137" i="2"/>
  <c r="I137" i="4" s="1"/>
  <c r="N134" i="2"/>
  <c r="Q132" i="2"/>
  <c r="J132" i="4" s="1"/>
  <c r="M131" i="2"/>
  <c r="P129" i="2"/>
  <c r="I129" i="4" s="1"/>
  <c r="N126" i="2"/>
  <c r="P102" i="2"/>
  <c r="M120" i="2"/>
  <c r="Q143" i="2"/>
  <c r="M142" i="2"/>
  <c r="F142" i="4" s="1"/>
  <c r="P140" i="2"/>
  <c r="N137" i="2"/>
  <c r="Q135" i="2"/>
  <c r="M134" i="2"/>
  <c r="P132" i="2"/>
  <c r="I132" i="4" s="1"/>
  <c r="N129" i="2"/>
  <c r="G129" i="4" s="1"/>
  <c r="Q127" i="2"/>
  <c r="M126" i="2"/>
  <c r="F126" i="4" s="1"/>
  <c r="N102" i="2"/>
  <c r="L120" i="2"/>
  <c r="Q86" i="2"/>
  <c r="Q109" i="2"/>
  <c r="L104" i="2"/>
  <c r="E104" i="4" s="1"/>
  <c r="P125" i="2"/>
  <c r="L124" i="2"/>
  <c r="N122" i="2"/>
  <c r="M119" i="2"/>
  <c r="P117" i="2"/>
  <c r="L116" i="2"/>
  <c r="N114" i="2"/>
  <c r="N125" i="2"/>
  <c r="Q123" i="2"/>
  <c r="J123" i="4" s="1"/>
  <c r="M122" i="2"/>
  <c r="N117" i="2"/>
  <c r="Q115" i="2"/>
  <c r="J115" i="4" s="1"/>
  <c r="M114" i="2"/>
  <c r="M125" i="2"/>
  <c r="P123" i="2"/>
  <c r="L122" i="2"/>
  <c r="M117" i="2"/>
  <c r="P115" i="2"/>
  <c r="I115" i="4" s="1"/>
  <c r="L114" i="2"/>
  <c r="M112" i="2"/>
  <c r="L125" i="2"/>
  <c r="N123" i="2"/>
  <c r="L117" i="2"/>
  <c r="E117" i="4" s="1"/>
  <c r="N115" i="2"/>
  <c r="G115" i="4" s="1"/>
  <c r="L112" i="2"/>
  <c r="Q124" i="2"/>
  <c r="M123" i="2"/>
  <c r="Q116" i="2"/>
  <c r="M115" i="2"/>
  <c r="F115" i="4" s="1"/>
  <c r="P110" i="2"/>
  <c r="Q105" i="2"/>
  <c r="L101" i="2"/>
  <c r="E101" i="4" s="1"/>
  <c r="P124" i="2"/>
  <c r="N121" i="2"/>
  <c r="G121" i="4" s="1"/>
  <c r="Q119" i="2"/>
  <c r="M118" i="2"/>
  <c r="P116" i="2"/>
  <c r="N113" i="2"/>
  <c r="N110" i="2"/>
  <c r="G110" i="4" s="1"/>
  <c r="P105" i="2"/>
  <c r="I105" i="4" s="1"/>
  <c r="N124" i="2"/>
  <c r="Q122" i="2"/>
  <c r="M121" i="2"/>
  <c r="P119" i="2"/>
  <c r="N116" i="2"/>
  <c r="Q114" i="2"/>
  <c r="M113" i="2"/>
  <c r="M110" i="2"/>
  <c r="F110" i="4" s="1"/>
  <c r="L121" i="2"/>
  <c r="E121" i="4" s="1"/>
  <c r="N107" i="2"/>
  <c r="G107" i="4" s="1"/>
  <c r="Q92" i="2"/>
  <c r="M107" i="2"/>
  <c r="F107" i="4" s="1"/>
  <c r="Q100" i="2"/>
  <c r="M99" i="2"/>
  <c r="F99" i="4" s="1"/>
  <c r="N84" i="2"/>
  <c r="G84" i="4" s="1"/>
  <c r="P92" i="2"/>
  <c r="I92" i="4" s="1"/>
  <c r="Q111" i="2"/>
  <c r="L107" i="2"/>
  <c r="E107" i="4" s="1"/>
  <c r="N105" i="2"/>
  <c r="Q103" i="2"/>
  <c r="P100" i="2"/>
  <c r="L99" i="2"/>
  <c r="E99" i="4" s="1"/>
  <c r="P83" i="2"/>
  <c r="N92" i="2"/>
  <c r="G92" i="4" s="1"/>
  <c r="P111" i="2"/>
  <c r="L110" i="2"/>
  <c r="E110" i="4" s="1"/>
  <c r="N108" i="2"/>
  <c r="Q106" i="2"/>
  <c r="J106" i="4" s="1"/>
  <c r="M105" i="2"/>
  <c r="F105" i="4" s="1"/>
  <c r="P103" i="2"/>
  <c r="L102" i="2"/>
  <c r="E102" i="4" s="1"/>
  <c r="N100" i="2"/>
  <c r="G100" i="4" s="1"/>
  <c r="Q98" i="2"/>
  <c r="J98" i="4" s="1"/>
  <c r="L83" i="2"/>
  <c r="Q90" i="2"/>
  <c r="J90" i="4" s="1"/>
  <c r="N111" i="2"/>
  <c r="P106" i="2"/>
  <c r="N103" i="2"/>
  <c r="M100" i="2"/>
  <c r="P98" i="2"/>
  <c r="I98" i="4" s="1"/>
  <c r="N94" i="2"/>
  <c r="G94" i="4" s="1"/>
  <c r="Q112" i="2"/>
  <c r="M111" i="2"/>
  <c r="P109" i="2"/>
  <c r="N106" i="2"/>
  <c r="Q104" i="2"/>
  <c r="J104" i="4" s="1"/>
  <c r="M103" i="2"/>
  <c r="N98" i="2"/>
  <c r="G98" i="4" s="1"/>
  <c r="M94" i="2"/>
  <c r="P112" i="2"/>
  <c r="N109" i="2"/>
  <c r="Q107" i="2"/>
  <c r="J107" i="4" s="1"/>
  <c r="M106" i="2"/>
  <c r="F106" i="4" s="1"/>
  <c r="P104" i="2"/>
  <c r="I104" i="4" s="1"/>
  <c r="N101" i="2"/>
  <c r="G101" i="4" s="1"/>
  <c r="Q99" i="2"/>
  <c r="J99" i="4" s="1"/>
  <c r="M98" i="2"/>
  <c r="F98" i="4" s="1"/>
  <c r="P72" i="2"/>
  <c r="I72" i="4" s="1"/>
  <c r="L94" i="2"/>
  <c r="L106" i="2"/>
  <c r="E106" i="4" s="1"/>
  <c r="N104" i="2"/>
  <c r="G104" i="4" s="1"/>
  <c r="M101" i="2"/>
  <c r="F101" i="4" s="1"/>
  <c r="P99" i="2"/>
  <c r="I99" i="4" s="1"/>
  <c r="L98" i="2"/>
  <c r="E98" i="4" s="1"/>
  <c r="P65" i="2"/>
  <c r="I65" i="4" s="1"/>
  <c r="P84" i="2"/>
  <c r="I84" i="4" s="1"/>
  <c r="L80" i="2"/>
  <c r="E80" i="4" s="1"/>
  <c r="N96" i="2"/>
  <c r="G96" i="4" s="1"/>
  <c r="Q94" i="2"/>
  <c r="M93" i="2"/>
  <c r="P91" i="2"/>
  <c r="N88" i="2"/>
  <c r="L73" i="2"/>
  <c r="M96" i="2"/>
  <c r="F96" i="4" s="1"/>
  <c r="N91" i="2"/>
  <c r="M88" i="2"/>
  <c r="F88" i="4" s="1"/>
  <c r="J97" i="4"/>
  <c r="J89" i="4"/>
  <c r="P97" i="2"/>
  <c r="M91" i="2"/>
  <c r="P89" i="2"/>
  <c r="I89" i="4" s="1"/>
  <c r="N97" i="2"/>
  <c r="G97" i="4" s="1"/>
  <c r="Q95" i="2"/>
  <c r="L91" i="2"/>
  <c r="N89" i="2"/>
  <c r="G89" i="4" s="1"/>
  <c r="Q87" i="2"/>
  <c r="P81" i="2"/>
  <c r="M97" i="2"/>
  <c r="F97" i="4" s="1"/>
  <c r="P95" i="2"/>
  <c r="M89" i="2"/>
  <c r="F89" i="4" s="1"/>
  <c r="P87" i="2"/>
  <c r="M86" i="2"/>
  <c r="N81" i="2"/>
  <c r="L97" i="2"/>
  <c r="E97" i="4" s="1"/>
  <c r="N95" i="2"/>
  <c r="M92" i="2"/>
  <c r="F92" i="4" s="1"/>
  <c r="P90" i="2"/>
  <c r="I90" i="4" s="1"/>
  <c r="L89" i="2"/>
  <c r="E89" i="4" s="1"/>
  <c r="N87" i="2"/>
  <c r="N50" i="2"/>
  <c r="G50" i="4" s="1"/>
  <c r="L86" i="2"/>
  <c r="M81" i="2"/>
  <c r="F81" i="4" s="1"/>
  <c r="Q96" i="2"/>
  <c r="M95" i="2"/>
  <c r="P93" i="2"/>
  <c r="I93" i="4" s="1"/>
  <c r="N90" i="2"/>
  <c r="G90" i="4" s="1"/>
  <c r="Q88" i="2"/>
  <c r="J88" i="4" s="1"/>
  <c r="M87" i="2"/>
  <c r="L50" i="2"/>
  <c r="Q84" i="2"/>
  <c r="J84" i="4" s="1"/>
  <c r="N80" i="2"/>
  <c r="G80" i="4" s="1"/>
  <c r="P96" i="2"/>
  <c r="I96" i="4" s="1"/>
  <c r="N93" i="2"/>
  <c r="G93" i="4" s="1"/>
  <c r="M90" i="2"/>
  <c r="F90" i="4" s="1"/>
  <c r="P88" i="2"/>
  <c r="M85" i="2"/>
  <c r="F85" i="4" s="1"/>
  <c r="L82" i="2"/>
  <c r="M50" i="2"/>
  <c r="F50" i="4" s="1"/>
  <c r="Q72" i="2"/>
  <c r="J72" i="4" s="1"/>
  <c r="L85" i="2"/>
  <c r="E85" i="4" s="1"/>
  <c r="N83" i="2"/>
  <c r="Q81" i="2"/>
  <c r="J81" i="4" s="1"/>
  <c r="M80" i="2"/>
  <c r="F80" i="4" s="1"/>
  <c r="M83" i="2"/>
  <c r="P71" i="2"/>
  <c r="Q79" i="2"/>
  <c r="L59" i="2"/>
  <c r="N71" i="2"/>
  <c r="Q82" i="2"/>
  <c r="P79" i="2"/>
  <c r="Q58" i="2"/>
  <c r="J58" i="4" s="1"/>
  <c r="M71" i="2"/>
  <c r="Q85" i="2"/>
  <c r="J85" i="4" s="1"/>
  <c r="M84" i="2"/>
  <c r="F84" i="4" s="1"/>
  <c r="P82" i="2"/>
  <c r="N79" i="2"/>
  <c r="L78" i="2"/>
  <c r="E78" i="4" s="1"/>
  <c r="L71" i="2"/>
  <c r="P85" i="2"/>
  <c r="I85" i="4" s="1"/>
  <c r="N82" i="2"/>
  <c r="Q80" i="2"/>
  <c r="J80" i="4" s="1"/>
  <c r="M79" i="2"/>
  <c r="M73" i="2"/>
  <c r="L70" i="2"/>
  <c r="E70" i="4" s="1"/>
  <c r="N76" i="2"/>
  <c r="G76" i="4" s="1"/>
  <c r="Q74" i="2"/>
  <c r="J74" i="4" s="1"/>
  <c r="N68" i="2"/>
  <c r="Q77" i="2"/>
  <c r="J77" i="4" s="1"/>
  <c r="M76" i="2"/>
  <c r="F76" i="4" s="1"/>
  <c r="P74" i="2"/>
  <c r="I74" i="4" s="1"/>
  <c r="Q69" i="2"/>
  <c r="M68" i="2"/>
  <c r="L56" i="2"/>
  <c r="P77" i="2"/>
  <c r="I77" i="4" s="1"/>
  <c r="L76" i="2"/>
  <c r="E76" i="4" s="1"/>
  <c r="N74" i="2"/>
  <c r="G74" i="4" s="1"/>
  <c r="P69" i="2"/>
  <c r="L68" i="2"/>
  <c r="P55" i="2"/>
  <c r="N77" i="2"/>
  <c r="G77" i="4" s="1"/>
  <c r="Q75" i="2"/>
  <c r="J75" i="4" s="1"/>
  <c r="M74" i="2"/>
  <c r="F74" i="4" s="1"/>
  <c r="N69" i="2"/>
  <c r="Q67" i="2"/>
  <c r="J67" i="4" s="1"/>
  <c r="M65" i="2"/>
  <c r="F65" i="4" s="1"/>
  <c r="Q78" i="2"/>
  <c r="J78" i="4" s="1"/>
  <c r="M77" i="2"/>
  <c r="P75" i="2"/>
  <c r="I75" i="4" s="1"/>
  <c r="N72" i="2"/>
  <c r="G72" i="4" s="1"/>
  <c r="Q70" i="2"/>
  <c r="M69" i="2"/>
  <c r="P67" i="2"/>
  <c r="I67" i="4" s="1"/>
  <c r="Q63" i="2"/>
  <c r="P78" i="2"/>
  <c r="I78" i="4" s="1"/>
  <c r="L77" i="2"/>
  <c r="N75" i="2"/>
  <c r="G75" i="4" s="1"/>
  <c r="Q73" i="2"/>
  <c r="M72" i="2"/>
  <c r="F72" i="4" s="1"/>
  <c r="P70" i="2"/>
  <c r="N67" i="2"/>
  <c r="G67" i="4" s="1"/>
  <c r="N53" i="2"/>
  <c r="P63" i="2"/>
  <c r="N78" i="2"/>
  <c r="G78" i="4" s="1"/>
  <c r="Q76" i="2"/>
  <c r="J76" i="4" s="1"/>
  <c r="M75" i="2"/>
  <c r="F75" i="4" s="1"/>
  <c r="P73" i="2"/>
  <c r="N70" i="2"/>
  <c r="Q68" i="2"/>
  <c r="M67" i="2"/>
  <c r="F67" i="4" s="1"/>
  <c r="L53" i="2"/>
  <c r="E53" i="4" s="1"/>
  <c r="M59" i="2"/>
  <c r="M32" i="2"/>
  <c r="N51" i="2"/>
  <c r="G51" i="4" s="1"/>
  <c r="L66" i="2"/>
  <c r="E66" i="4" s="1"/>
  <c r="N64" i="2"/>
  <c r="G64" i="4" s="1"/>
  <c r="Q62" i="2"/>
  <c r="M61" i="2"/>
  <c r="P59" i="2"/>
  <c r="L58" i="2"/>
  <c r="E58" i="4" s="1"/>
  <c r="N56" i="2"/>
  <c r="P53" i="2"/>
  <c r="I53" i="4" s="1"/>
  <c r="Q65" i="2"/>
  <c r="J65" i="4" s="1"/>
  <c r="M64" i="2"/>
  <c r="F64" i="4" s="1"/>
  <c r="P62" i="2"/>
  <c r="L61" i="2"/>
  <c r="E61" i="4" s="1"/>
  <c r="N59" i="2"/>
  <c r="Q57" i="2"/>
  <c r="M56" i="2"/>
  <c r="L64" i="2"/>
  <c r="E64" i="4" s="1"/>
  <c r="N62" i="2"/>
  <c r="Q60" i="2"/>
  <c r="J60" i="4" s="1"/>
  <c r="P57" i="2"/>
  <c r="I57" i="4" s="1"/>
  <c r="M53" i="2"/>
  <c r="F53" i="4" s="1"/>
  <c r="N65" i="2"/>
  <c r="G65" i="4" s="1"/>
  <c r="M62" i="2"/>
  <c r="P60" i="2"/>
  <c r="I60" i="4" s="1"/>
  <c r="N57" i="2"/>
  <c r="G57" i="4" s="1"/>
  <c r="Q55" i="2"/>
  <c r="Q66" i="2"/>
  <c r="J66" i="4" s="1"/>
  <c r="N60" i="2"/>
  <c r="G60" i="4" s="1"/>
  <c r="M57" i="2"/>
  <c r="F57" i="4" s="1"/>
  <c r="Q40" i="2"/>
  <c r="J40" i="4" s="1"/>
  <c r="L52" i="2"/>
  <c r="E52" i="4" s="1"/>
  <c r="P66" i="2"/>
  <c r="I66" i="4" s="1"/>
  <c r="N63" i="2"/>
  <c r="Q61" i="2"/>
  <c r="J61" i="4" s="1"/>
  <c r="M60" i="2"/>
  <c r="F60" i="4" s="1"/>
  <c r="P58" i="2"/>
  <c r="I58" i="4" s="1"/>
  <c r="N55" i="2"/>
  <c r="M40" i="2"/>
  <c r="F40" i="4" s="1"/>
  <c r="Q51" i="2"/>
  <c r="J51" i="4" s="1"/>
  <c r="N66" i="2"/>
  <c r="G66" i="4" s="1"/>
  <c r="Q64" i="2"/>
  <c r="J64" i="4" s="1"/>
  <c r="M63" i="2"/>
  <c r="P61" i="2"/>
  <c r="I61" i="4" s="1"/>
  <c r="N58" i="2"/>
  <c r="G58" i="4" s="1"/>
  <c r="Q56" i="2"/>
  <c r="M55" i="2"/>
  <c r="Q32" i="2"/>
  <c r="P51" i="2"/>
  <c r="I51" i="4" s="1"/>
  <c r="N44" i="2"/>
  <c r="L36" i="2"/>
  <c r="M52" i="2"/>
  <c r="F52" i="4" s="1"/>
  <c r="P50" i="2"/>
  <c r="I50" i="4" s="1"/>
  <c r="N47" i="2"/>
  <c r="M44" i="2"/>
  <c r="Q48" i="2"/>
  <c r="M47" i="2"/>
  <c r="L44" i="2"/>
  <c r="P48" i="2"/>
  <c r="L47" i="2"/>
  <c r="Q54" i="2"/>
  <c r="N48" i="2"/>
  <c r="Q46" i="2"/>
  <c r="J46" i="4" s="1"/>
  <c r="P54" i="2"/>
  <c r="Q49" i="2"/>
  <c r="J49" i="4" s="1"/>
  <c r="M48" i="2"/>
  <c r="P46" i="2"/>
  <c r="I46" i="4" s="1"/>
  <c r="P39" i="2"/>
  <c r="I39" i="4" s="1"/>
  <c r="N54" i="2"/>
  <c r="M51" i="2"/>
  <c r="F51" i="4" s="1"/>
  <c r="P49" i="2"/>
  <c r="I49" i="4" s="1"/>
  <c r="N46" i="2"/>
  <c r="G46" i="4" s="1"/>
  <c r="N39" i="2"/>
  <c r="G39" i="4" s="1"/>
  <c r="M54" i="2"/>
  <c r="P52" i="2"/>
  <c r="I52" i="4" s="1"/>
  <c r="N49" i="2"/>
  <c r="Q47" i="2"/>
  <c r="M46" i="2"/>
  <c r="F46" i="4" s="1"/>
  <c r="N28" i="2"/>
  <c r="M39" i="2"/>
  <c r="F39" i="4" s="1"/>
  <c r="N52" i="2"/>
  <c r="G52" i="4" s="1"/>
  <c r="M49" i="2"/>
  <c r="F49" i="4" s="1"/>
  <c r="M29" i="2"/>
  <c r="F29" i="4" s="1"/>
  <c r="Q22" i="2"/>
  <c r="J22" i="4" s="1"/>
  <c r="P44" i="2"/>
  <c r="L43" i="2"/>
  <c r="E43" i="4" s="1"/>
  <c r="N41" i="2"/>
  <c r="Q39" i="2"/>
  <c r="J39" i="4" s="1"/>
  <c r="M38" i="2"/>
  <c r="P36" i="2"/>
  <c r="L35" i="2"/>
  <c r="E35" i="4" s="1"/>
  <c r="N33" i="2"/>
  <c r="G33" i="4" s="1"/>
  <c r="L22" i="2"/>
  <c r="E22" i="4" s="1"/>
  <c r="Q42" i="2"/>
  <c r="M41" i="2"/>
  <c r="L38" i="2"/>
  <c r="N36" i="2"/>
  <c r="Q34" i="2"/>
  <c r="J34" i="4" s="1"/>
  <c r="M33" i="2"/>
  <c r="F33" i="4" s="1"/>
  <c r="Q26" i="2"/>
  <c r="J26" i="4" s="1"/>
  <c r="Q45" i="2"/>
  <c r="J45" i="4" s="1"/>
  <c r="P42" i="2"/>
  <c r="L41" i="2"/>
  <c r="Q37" i="2"/>
  <c r="M36" i="2"/>
  <c r="P34" i="2"/>
  <c r="I34" i="4" s="1"/>
  <c r="L33" i="2"/>
  <c r="E33" i="4" s="1"/>
  <c r="M26" i="2"/>
  <c r="F26" i="4" s="1"/>
  <c r="P45" i="2"/>
  <c r="I45" i="4" s="1"/>
  <c r="N42" i="2"/>
  <c r="P37" i="2"/>
  <c r="N34" i="2"/>
  <c r="G34" i="4" s="1"/>
  <c r="M13" i="2"/>
  <c r="F13" i="4" s="1"/>
  <c r="L26" i="2"/>
  <c r="E26" i="4" s="1"/>
  <c r="N45" i="2"/>
  <c r="G45" i="4" s="1"/>
  <c r="Q43" i="2"/>
  <c r="J43" i="4" s="1"/>
  <c r="M42" i="2"/>
  <c r="P40" i="2"/>
  <c r="I40" i="4" s="1"/>
  <c r="N37" i="2"/>
  <c r="Q35" i="2"/>
  <c r="J35" i="4" s="1"/>
  <c r="M34" i="2"/>
  <c r="F34" i="4" s="1"/>
  <c r="P32" i="2"/>
  <c r="Q6" i="2"/>
  <c r="J6" i="4" s="1"/>
  <c r="M25" i="2"/>
  <c r="F25" i="4" s="1"/>
  <c r="M45" i="2"/>
  <c r="F45" i="4" s="1"/>
  <c r="P43" i="2"/>
  <c r="I43" i="4" s="1"/>
  <c r="N40" i="2"/>
  <c r="G40" i="4" s="1"/>
  <c r="Q38" i="2"/>
  <c r="M37" i="2"/>
  <c r="P35" i="2"/>
  <c r="I35" i="4" s="1"/>
  <c r="N32" i="2"/>
  <c r="L6" i="2"/>
  <c r="E6" i="4" s="1"/>
  <c r="P23" i="2"/>
  <c r="N43" i="2"/>
  <c r="G43" i="4" s="1"/>
  <c r="Q41" i="2"/>
  <c r="P38" i="2"/>
  <c r="N35" i="2"/>
  <c r="G35" i="4" s="1"/>
  <c r="Q33" i="2"/>
  <c r="J33" i="4" s="1"/>
  <c r="N29" i="2"/>
  <c r="G29" i="4" s="1"/>
  <c r="L23" i="2"/>
  <c r="P31" i="2"/>
  <c r="I31" i="4" s="1"/>
  <c r="L30" i="2"/>
  <c r="E30" i="4" s="1"/>
  <c r="N20" i="2"/>
  <c r="M10" i="2"/>
  <c r="F10" i="4" s="1"/>
  <c r="N31" i="2"/>
  <c r="G31" i="4" s="1"/>
  <c r="Q29" i="2"/>
  <c r="J29" i="4" s="1"/>
  <c r="M28" i="2"/>
  <c r="P26" i="2"/>
  <c r="I26" i="4" s="1"/>
  <c r="L25" i="2"/>
  <c r="E25" i="4" s="1"/>
  <c r="N23" i="2"/>
  <c r="Q21" i="2"/>
  <c r="J21" i="4" s="1"/>
  <c r="M20" i="2"/>
  <c r="L7" i="2"/>
  <c r="E7" i="4" s="1"/>
  <c r="M31" i="2"/>
  <c r="F31" i="4" s="1"/>
  <c r="P29" i="2"/>
  <c r="I29" i="4" s="1"/>
  <c r="L28" i="2"/>
  <c r="Q24" i="2"/>
  <c r="J24" i="4" s="1"/>
  <c r="M23" i="2"/>
  <c r="P21" i="2"/>
  <c r="I21" i="4" s="1"/>
  <c r="L20" i="2"/>
  <c r="M18" i="2"/>
  <c r="L31" i="2"/>
  <c r="E31" i="4" s="1"/>
  <c r="Q27" i="2"/>
  <c r="J27" i="4" s="1"/>
  <c r="P24" i="2"/>
  <c r="I24" i="4" s="1"/>
  <c r="N21" i="2"/>
  <c r="G21" i="4" s="1"/>
  <c r="Q19" i="2"/>
  <c r="J19" i="4" s="1"/>
  <c r="L15" i="2"/>
  <c r="E15" i="4" s="1"/>
  <c r="P27" i="2"/>
  <c r="I27" i="4" s="1"/>
  <c r="N24" i="2"/>
  <c r="G24" i="4" s="1"/>
  <c r="M21" i="2"/>
  <c r="F21" i="4" s="1"/>
  <c r="P19" i="2"/>
  <c r="I19" i="4" s="1"/>
  <c r="Q14" i="2"/>
  <c r="N5" i="2"/>
  <c r="P30" i="2"/>
  <c r="I30" i="4" s="1"/>
  <c r="N27" i="2"/>
  <c r="G27" i="4" s="1"/>
  <c r="Q25" i="2"/>
  <c r="M24" i="2"/>
  <c r="F24" i="4" s="1"/>
  <c r="P22" i="2"/>
  <c r="I22" i="4" s="1"/>
  <c r="N19" i="2"/>
  <c r="G19" i="4" s="1"/>
  <c r="L14" i="2"/>
  <c r="M5" i="2"/>
  <c r="N30" i="2"/>
  <c r="G30" i="4" s="1"/>
  <c r="Q28" i="2"/>
  <c r="M27" i="2"/>
  <c r="F27" i="4" s="1"/>
  <c r="P25" i="2"/>
  <c r="I25" i="4" s="1"/>
  <c r="N22" i="2"/>
  <c r="G22" i="4" s="1"/>
  <c r="Q20" i="2"/>
  <c r="M19" i="2"/>
  <c r="F19" i="4" s="1"/>
  <c r="N13" i="2"/>
  <c r="G13" i="4" s="1"/>
  <c r="M30" i="2"/>
  <c r="Q18" i="2"/>
  <c r="M17" i="2"/>
  <c r="F17" i="4" s="1"/>
  <c r="P15" i="2"/>
  <c r="I15" i="4" s="1"/>
  <c r="N12" i="2"/>
  <c r="Q10" i="2"/>
  <c r="J10" i="4" s="1"/>
  <c r="M9" i="2"/>
  <c r="P7" i="2"/>
  <c r="I7" i="4" s="1"/>
  <c r="P18" i="2"/>
  <c r="L17" i="2"/>
  <c r="E17" i="4" s="1"/>
  <c r="N15" i="2"/>
  <c r="G15" i="4" s="1"/>
  <c r="Q13" i="2"/>
  <c r="J13" i="4" s="1"/>
  <c r="M12" i="2"/>
  <c r="P10" i="2"/>
  <c r="I10" i="4" s="1"/>
  <c r="L9" i="2"/>
  <c r="N7" i="2"/>
  <c r="G7" i="4" s="1"/>
  <c r="Q5" i="2"/>
  <c r="N18" i="2"/>
  <c r="Q16" i="2"/>
  <c r="J16" i="4" s="1"/>
  <c r="M15" i="2"/>
  <c r="F15" i="4" s="1"/>
  <c r="P13" i="2"/>
  <c r="I13" i="4" s="1"/>
  <c r="L12" i="2"/>
  <c r="N10" i="2"/>
  <c r="G10" i="4" s="1"/>
  <c r="Q8" i="2"/>
  <c r="J8" i="4" s="1"/>
  <c r="M7" i="2"/>
  <c r="F7" i="4" s="1"/>
  <c r="P5" i="2"/>
  <c r="P16" i="2"/>
  <c r="I16" i="4" s="1"/>
  <c r="Q11" i="2"/>
  <c r="J11" i="4" s="1"/>
  <c r="P8" i="2"/>
  <c r="I8" i="4" s="1"/>
  <c r="Q3" i="2"/>
  <c r="J3" i="4" s="1"/>
  <c r="N16" i="2"/>
  <c r="G16" i="4" s="1"/>
  <c r="P11" i="2"/>
  <c r="I11" i="4" s="1"/>
  <c r="N8" i="2"/>
  <c r="G8" i="4" s="1"/>
  <c r="P3" i="2"/>
  <c r="I3" i="4" s="1"/>
  <c r="Q17" i="2"/>
  <c r="J17" i="4" s="1"/>
  <c r="M16" i="2"/>
  <c r="F16" i="4" s="1"/>
  <c r="P14" i="2"/>
  <c r="N11" i="2"/>
  <c r="G11" i="4" s="1"/>
  <c r="Q9" i="2"/>
  <c r="M8" i="2"/>
  <c r="F8" i="4" s="1"/>
  <c r="P6" i="2"/>
  <c r="I6" i="4" s="1"/>
  <c r="N3" i="2"/>
  <c r="G3" i="4" s="1"/>
  <c r="P17" i="2"/>
  <c r="I17" i="4" s="1"/>
  <c r="N14" i="2"/>
  <c r="Q12" i="2"/>
  <c r="M11" i="2"/>
  <c r="F11" i="4" s="1"/>
  <c r="P9" i="2"/>
  <c r="N6" i="2"/>
  <c r="G6" i="4" s="1"/>
  <c r="Q4" i="2"/>
  <c r="M3" i="2"/>
  <c r="F3" i="4" s="1"/>
  <c r="C78" i="4"/>
  <c r="C182" i="4"/>
  <c r="P2" i="2"/>
  <c r="Q2" i="2" s="1"/>
  <c r="J2" i="4" s="1"/>
  <c r="N2" i="2"/>
  <c r="G2" i="4" s="1"/>
  <c r="M2" i="2"/>
  <c r="F2" i="4" s="1"/>
  <c r="L2" i="2"/>
  <c r="E2" i="4" s="1"/>
  <c r="C94" i="4"/>
  <c r="K299" i="2"/>
  <c r="M299" i="2" s="1"/>
  <c r="F299" i="4" s="1"/>
  <c r="Q461" i="2"/>
  <c r="J461" i="4" s="1"/>
  <c r="J102" i="4"/>
  <c r="M403" i="2"/>
  <c r="F403" i="4" s="1"/>
  <c r="G327" i="3"/>
  <c r="Q485" i="2"/>
  <c r="J485" i="4" s="1"/>
  <c r="P485" i="2"/>
  <c r="I485" i="4" s="1"/>
  <c r="N426" i="2"/>
  <c r="G426" i="4" s="1"/>
  <c r="K331" i="2"/>
  <c r="M331" i="2" s="1"/>
  <c r="F331" i="4" s="1"/>
  <c r="N474" i="2"/>
  <c r="G474" i="4" s="1"/>
  <c r="G253" i="3"/>
  <c r="K195" i="2"/>
  <c r="P195" i="2" s="1"/>
  <c r="I195" i="4" s="1"/>
  <c r="K293" i="2"/>
  <c r="P293" i="2" s="1"/>
  <c r="I293" i="4" s="1"/>
  <c r="K339" i="2"/>
  <c r="M339" i="2" s="1"/>
  <c r="F339" i="4" s="1"/>
  <c r="K251" i="2"/>
  <c r="P251" i="2" s="1"/>
  <c r="I251" i="4" s="1"/>
  <c r="K347" i="2"/>
  <c r="P347" i="2" s="1"/>
  <c r="I347" i="4" s="1"/>
  <c r="G179" i="3"/>
  <c r="K291" i="2"/>
  <c r="H291" i="3" s="1"/>
  <c r="I76" i="4"/>
  <c r="E67" i="4"/>
  <c r="Q389" i="2"/>
  <c r="J389" i="4" s="1"/>
  <c r="P389" i="2"/>
  <c r="I389" i="4" s="1"/>
  <c r="I101" i="4"/>
  <c r="K245" i="2"/>
  <c r="H245" i="3" s="1"/>
  <c r="K250" i="2"/>
  <c r="D250" i="4" s="1"/>
  <c r="K298" i="2"/>
  <c r="D298" i="4" s="1"/>
  <c r="K323" i="2"/>
  <c r="M323" i="2" s="1"/>
  <c r="F323" i="4" s="1"/>
  <c r="K330" i="2"/>
  <c r="L330" i="2" s="1"/>
  <c r="E330" i="4" s="1"/>
  <c r="K371" i="2"/>
  <c r="M371" i="2" s="1"/>
  <c r="F371" i="4" s="1"/>
  <c r="N458" i="2"/>
  <c r="G458" i="4" s="1"/>
  <c r="Q469" i="2"/>
  <c r="J469" i="4" s="1"/>
  <c r="E46" i="4"/>
  <c r="K221" i="2"/>
  <c r="D221" i="4" s="1"/>
  <c r="K355" i="2"/>
  <c r="M355" i="2" s="1"/>
  <c r="F355" i="4" s="1"/>
  <c r="K365" i="2"/>
  <c r="H365" i="3" s="1"/>
  <c r="G171" i="3"/>
  <c r="G323" i="3"/>
  <c r="G365" i="3"/>
  <c r="G293" i="3"/>
  <c r="K275" i="2"/>
  <c r="N275" i="2" s="1"/>
  <c r="G275" i="4" s="1"/>
  <c r="K363" i="2"/>
  <c r="Q363" i="2" s="1"/>
  <c r="J363" i="4" s="1"/>
  <c r="P477" i="2"/>
  <c r="I477" i="4" s="1"/>
  <c r="G355" i="3"/>
  <c r="J171" i="4"/>
  <c r="G267" i="3"/>
  <c r="Q442" i="2"/>
  <c r="J442" i="4" s="1"/>
  <c r="K229" i="2"/>
  <c r="D229" i="4" s="1"/>
  <c r="K234" i="2"/>
  <c r="L234" i="2" s="1"/>
  <c r="E234" i="4" s="1"/>
  <c r="K187" i="2"/>
  <c r="L187" i="2" s="1"/>
  <c r="E187" i="4" s="1"/>
  <c r="K283" i="2"/>
  <c r="M283" i="2" s="1"/>
  <c r="F283" i="4" s="1"/>
  <c r="K253" i="2"/>
  <c r="N253" i="2" s="1"/>
  <c r="G253" i="4" s="1"/>
  <c r="K267" i="2"/>
  <c r="D267" i="4" s="1"/>
  <c r="K277" i="2"/>
  <c r="Q277" i="2" s="1"/>
  <c r="J277" i="4" s="1"/>
  <c r="K309" i="2"/>
  <c r="D309" i="4" s="1"/>
  <c r="K314" i="2"/>
  <c r="L314" i="2" s="1"/>
  <c r="E314" i="4" s="1"/>
  <c r="G173" i="3"/>
  <c r="G291" i="3"/>
  <c r="G371" i="3"/>
  <c r="P405" i="2"/>
  <c r="I405" i="4" s="1"/>
  <c r="Q405" i="2"/>
  <c r="J405" i="4" s="1"/>
  <c r="Q261" i="2"/>
  <c r="J261" i="4" s="1"/>
  <c r="P261" i="2"/>
  <c r="I261" i="4" s="1"/>
  <c r="N261" i="2"/>
  <c r="G261" i="4" s="1"/>
  <c r="P315" i="2"/>
  <c r="I315" i="4" s="1"/>
  <c r="M315" i="2"/>
  <c r="F315" i="4" s="1"/>
  <c r="N315" i="2"/>
  <c r="G315" i="4" s="1"/>
  <c r="E81" i="4"/>
  <c r="Q490" i="2"/>
  <c r="J490" i="4" s="1"/>
  <c r="N490" i="2"/>
  <c r="G490" i="4" s="1"/>
  <c r="E139" i="4"/>
  <c r="G25" i="4"/>
  <c r="G85" i="4"/>
  <c r="E152" i="4"/>
  <c r="G152" i="4"/>
  <c r="C341" i="4"/>
  <c r="K341" i="2"/>
  <c r="H341" i="3" s="1"/>
  <c r="G341" i="3"/>
  <c r="Q410" i="2"/>
  <c r="J410" i="4" s="1"/>
  <c r="N410" i="2"/>
  <c r="G410" i="4" s="1"/>
  <c r="Q437" i="2"/>
  <c r="J437" i="4" s="1"/>
  <c r="P437" i="2"/>
  <c r="I437" i="4" s="1"/>
  <c r="P489" i="2"/>
  <c r="I489" i="4" s="1"/>
  <c r="L489" i="2"/>
  <c r="E489" i="4" s="1"/>
  <c r="D493" i="4"/>
  <c r="Q493" i="2"/>
  <c r="J493" i="4" s="1"/>
  <c r="P493" i="2"/>
  <c r="I493" i="4" s="1"/>
  <c r="N493" i="2"/>
  <c r="G493" i="4" s="1"/>
  <c r="C142" i="4"/>
  <c r="E142" i="4"/>
  <c r="C285" i="4"/>
  <c r="G285" i="3"/>
  <c r="K285" i="2"/>
  <c r="N285" i="2" s="1"/>
  <c r="G285" i="4" s="1"/>
  <c r="C301" i="4"/>
  <c r="G301" i="3"/>
  <c r="C307" i="4"/>
  <c r="K307" i="2"/>
  <c r="L307" i="2" s="1"/>
  <c r="E307" i="4" s="1"/>
  <c r="G307" i="3"/>
  <c r="C312" i="4"/>
  <c r="G312" i="3"/>
  <c r="C317" i="4"/>
  <c r="K317" i="2"/>
  <c r="N317" i="2" s="1"/>
  <c r="G317" i="4" s="1"/>
  <c r="G317" i="3"/>
  <c r="C357" i="4"/>
  <c r="G357" i="3"/>
  <c r="K357" i="2"/>
  <c r="D357" i="4" s="1"/>
  <c r="Q394" i="2"/>
  <c r="J394" i="4" s="1"/>
  <c r="N394" i="2"/>
  <c r="G394" i="4" s="1"/>
  <c r="M489" i="2"/>
  <c r="F489" i="4" s="1"/>
  <c r="M493" i="2"/>
  <c r="F493" i="4" s="1"/>
  <c r="K301" i="2"/>
  <c r="Q301" i="2" s="1"/>
  <c r="J301" i="4" s="1"/>
  <c r="D499" i="4"/>
  <c r="L499" i="2"/>
  <c r="E499" i="4" s="1"/>
  <c r="P499" i="2"/>
  <c r="I499" i="4" s="1"/>
  <c r="C118" i="4"/>
  <c r="G118" i="3"/>
  <c r="D118" i="4"/>
  <c r="C134" i="4"/>
  <c r="G134" i="3"/>
  <c r="C70" i="4"/>
  <c r="G70" i="3"/>
  <c r="C218" i="4"/>
  <c r="K218" i="2"/>
  <c r="Q218" i="2" s="1"/>
  <c r="J218" i="4" s="1"/>
  <c r="C325" i="4"/>
  <c r="G325" i="3"/>
  <c r="K325" i="2"/>
  <c r="M325" i="2" s="1"/>
  <c r="F325" i="4" s="1"/>
  <c r="C373" i="4"/>
  <c r="G373" i="3"/>
  <c r="P379" i="2"/>
  <c r="I379" i="4" s="1"/>
  <c r="M379" i="2"/>
  <c r="F379" i="4" s="1"/>
  <c r="Q421" i="2"/>
  <c r="J421" i="4" s="1"/>
  <c r="Q453" i="2"/>
  <c r="J453" i="4" s="1"/>
  <c r="J7" i="4"/>
  <c r="F35" i="4"/>
  <c r="F70" i="4"/>
  <c r="C155" i="4"/>
  <c r="G155" i="3"/>
  <c r="F155" i="4"/>
  <c r="C203" i="4"/>
  <c r="G203" i="3"/>
  <c r="K203" i="2"/>
  <c r="P203" i="2" s="1"/>
  <c r="I203" i="4" s="1"/>
  <c r="C237" i="4"/>
  <c r="K237" i="2"/>
  <c r="M237" i="2" s="1"/>
  <c r="F237" i="4" s="1"/>
  <c r="G237" i="3"/>
  <c r="C282" i="4"/>
  <c r="K282" i="2"/>
  <c r="P282" i="2" s="1"/>
  <c r="I282" i="4" s="1"/>
  <c r="K373" i="2"/>
  <c r="D373" i="4" s="1"/>
  <c r="N379" i="2"/>
  <c r="G379" i="4" s="1"/>
  <c r="Q463" i="2"/>
  <c r="J463" i="4" s="1"/>
  <c r="M499" i="2"/>
  <c r="F499" i="4" s="1"/>
  <c r="J30" i="4"/>
  <c r="N211" i="2"/>
  <c r="G211" i="4" s="1"/>
  <c r="M211" i="2"/>
  <c r="F211" i="4" s="1"/>
  <c r="L211" i="2"/>
  <c r="E211" i="4" s="1"/>
  <c r="C227" i="4"/>
  <c r="G227" i="3"/>
  <c r="C261" i="4"/>
  <c r="G261" i="3"/>
  <c r="N499" i="2"/>
  <c r="G499" i="4" s="1"/>
  <c r="K266" i="2"/>
  <c r="L266" i="2" s="1"/>
  <c r="E266" i="4" s="1"/>
  <c r="C163" i="4"/>
  <c r="G163" i="3"/>
  <c r="C213" i="4"/>
  <c r="G213" i="3"/>
  <c r="C219" i="4"/>
  <c r="G219" i="3"/>
  <c r="C243" i="4"/>
  <c r="G243" i="3"/>
  <c r="C272" i="4"/>
  <c r="G272" i="3"/>
  <c r="C288" i="4"/>
  <c r="G288" i="3"/>
  <c r="C147" i="4"/>
  <c r="G147" i="3"/>
  <c r="K213" i="2"/>
  <c r="D213" i="4" s="1"/>
  <c r="K219" i="2"/>
  <c r="H219" i="3" s="1"/>
  <c r="P397" i="2"/>
  <c r="I397" i="4" s="1"/>
  <c r="Q413" i="2"/>
  <c r="J413" i="4" s="1"/>
  <c r="P413" i="2"/>
  <c r="I413" i="4" s="1"/>
  <c r="M435" i="2"/>
  <c r="F435" i="4" s="1"/>
  <c r="C86" i="4"/>
  <c r="G86" i="3"/>
  <c r="C235" i="4"/>
  <c r="G235" i="3"/>
  <c r="C328" i="4"/>
  <c r="G328" i="3"/>
  <c r="C349" i="4"/>
  <c r="G349" i="3"/>
  <c r="P429" i="2"/>
  <c r="I429" i="4" s="1"/>
  <c r="M441" i="2"/>
  <c r="F441" i="4" s="1"/>
  <c r="Q445" i="2"/>
  <c r="J445" i="4" s="1"/>
  <c r="K243" i="2"/>
  <c r="P243" i="2" s="1"/>
  <c r="I243" i="4" s="1"/>
  <c r="C315" i="4"/>
  <c r="G315" i="3"/>
  <c r="C54" i="4"/>
  <c r="G54" i="3"/>
  <c r="C211" i="4"/>
  <c r="G211" i="3"/>
  <c r="K235" i="2"/>
  <c r="L235" i="2" s="1"/>
  <c r="E235" i="4" s="1"/>
  <c r="C259" i="4"/>
  <c r="G259" i="3"/>
  <c r="K259" i="2"/>
  <c r="D259" i="4" s="1"/>
  <c r="C269" i="4"/>
  <c r="G269" i="3"/>
  <c r="K269" i="2"/>
  <c r="H269" i="3" s="1"/>
  <c r="C333" i="4"/>
  <c r="G333" i="3"/>
  <c r="K333" i="2"/>
  <c r="D333" i="4" s="1"/>
  <c r="K349" i="2"/>
  <c r="P349" i="2" s="1"/>
  <c r="I349" i="4" s="1"/>
  <c r="G229" i="3"/>
  <c r="G277" i="3"/>
  <c r="G331" i="3"/>
  <c r="L457" i="2"/>
  <c r="E457" i="4" s="1"/>
  <c r="G187" i="3"/>
  <c r="G251" i="3"/>
  <c r="G363" i="3"/>
  <c r="M457" i="2"/>
  <c r="F457" i="4" s="1"/>
  <c r="G102" i="3"/>
  <c r="G195" i="3"/>
  <c r="G275" i="3"/>
  <c r="G299" i="3"/>
  <c r="G309" i="3"/>
  <c r="G339" i="3"/>
  <c r="G221" i="3"/>
  <c r="G245" i="3"/>
  <c r="G283" i="3"/>
  <c r="G347" i="3"/>
  <c r="D29" i="4"/>
  <c r="H29" i="3"/>
  <c r="E29" i="4"/>
  <c r="D61" i="4"/>
  <c r="H61" i="3"/>
  <c r="F61" i="4"/>
  <c r="G61" i="4"/>
  <c r="D80" i="4"/>
  <c r="H80" i="3"/>
  <c r="I80" i="4"/>
  <c r="D132" i="4"/>
  <c r="H132" i="3"/>
  <c r="G132" i="4"/>
  <c r="D65" i="4"/>
  <c r="H65" i="3"/>
  <c r="E65" i="4"/>
  <c r="D8" i="4"/>
  <c r="H8" i="3"/>
  <c r="E8" i="4"/>
  <c r="D66" i="4"/>
  <c r="H66" i="3"/>
  <c r="F66" i="4"/>
  <c r="D74" i="4"/>
  <c r="H74" i="3"/>
  <c r="E74" i="4"/>
  <c r="D40" i="4"/>
  <c r="H40" i="3"/>
  <c r="E40" i="4"/>
  <c r="D45" i="4"/>
  <c r="H45" i="3"/>
  <c r="E45" i="4"/>
  <c r="D13" i="4"/>
  <c r="H13" i="3"/>
  <c r="E13" i="4"/>
  <c r="D31" i="4"/>
  <c r="H31" i="3"/>
  <c r="J31" i="4"/>
  <c r="D64" i="4"/>
  <c r="H64" i="3"/>
  <c r="I64" i="4"/>
  <c r="D17" i="4"/>
  <c r="H17" i="3"/>
  <c r="G17" i="4"/>
  <c r="D129" i="4"/>
  <c r="H129" i="3"/>
  <c r="F129" i="4"/>
  <c r="J129" i="4"/>
  <c r="D10" i="4"/>
  <c r="H10" i="3"/>
  <c r="E10" i="4"/>
  <c r="D6" i="4"/>
  <c r="H6" i="3"/>
  <c r="F6" i="4"/>
  <c r="D26" i="4"/>
  <c r="H26" i="3"/>
  <c r="G26" i="4"/>
  <c r="D75" i="4"/>
  <c r="H75" i="3"/>
  <c r="E75" i="4"/>
  <c r="D22" i="4"/>
  <c r="H22" i="3"/>
  <c r="F22" i="4"/>
  <c r="D15" i="4"/>
  <c r="H15" i="3"/>
  <c r="J15" i="4"/>
  <c r="D24" i="4"/>
  <c r="H24" i="3"/>
  <c r="E24" i="4"/>
  <c r="D33" i="4"/>
  <c r="H33" i="3"/>
  <c r="I33" i="4"/>
  <c r="D60" i="4"/>
  <c r="H60" i="3"/>
  <c r="E60" i="4"/>
  <c r="D84" i="4"/>
  <c r="H84" i="3"/>
  <c r="E84" i="4"/>
  <c r="D105" i="4"/>
  <c r="H105" i="3"/>
  <c r="E105" i="4"/>
  <c r="D117" i="4"/>
  <c r="H117" i="3"/>
  <c r="J117" i="4"/>
  <c r="D123" i="4"/>
  <c r="H123" i="3"/>
  <c r="I123" i="4"/>
  <c r="G123" i="4"/>
  <c r="D2" i="4"/>
  <c r="H2" i="3"/>
  <c r="C116" i="4"/>
  <c r="G116" i="3"/>
  <c r="I117" i="4"/>
  <c r="C124" i="4"/>
  <c r="G124" i="3"/>
  <c r="C128" i="4"/>
  <c r="G128" i="3"/>
  <c r="C38" i="4"/>
  <c r="G38" i="3"/>
  <c r="E39" i="4"/>
  <c r="C42" i="4"/>
  <c r="G42" i="3"/>
  <c r="D43" i="4"/>
  <c r="H43" i="3"/>
  <c r="C47" i="4"/>
  <c r="G47" i="3"/>
  <c r="E51" i="4"/>
  <c r="D58" i="4"/>
  <c r="H58" i="3"/>
  <c r="C68" i="4"/>
  <c r="G68" i="3"/>
  <c r="D72" i="4"/>
  <c r="H72" i="3"/>
  <c r="E72" i="4"/>
  <c r="C82" i="4"/>
  <c r="G82" i="3"/>
  <c r="C91" i="4"/>
  <c r="G91" i="3"/>
  <c r="D99" i="4"/>
  <c r="H99" i="3"/>
  <c r="G99" i="4"/>
  <c r="D101" i="4"/>
  <c r="H101" i="3"/>
  <c r="D104" i="4"/>
  <c r="H104" i="3"/>
  <c r="F104" i="4"/>
  <c r="C50" i="4"/>
  <c r="G50" i="3"/>
  <c r="C57" i="4"/>
  <c r="G57" i="3"/>
  <c r="C71" i="4"/>
  <c r="G71" i="3"/>
  <c r="D85" i="4"/>
  <c r="H85" i="3"/>
  <c r="C88" i="4"/>
  <c r="G88" i="3"/>
  <c r="C96" i="4"/>
  <c r="G96" i="3"/>
  <c r="D133" i="4"/>
  <c r="H133" i="3"/>
  <c r="J133" i="4"/>
  <c r="E133" i="4"/>
  <c r="D139" i="4"/>
  <c r="H139" i="3"/>
  <c r="D152" i="4"/>
  <c r="H152" i="3"/>
  <c r="J152" i="4"/>
  <c r="F152" i="4"/>
  <c r="C168" i="4"/>
  <c r="G168" i="3"/>
  <c r="C174" i="4"/>
  <c r="G174" i="3"/>
  <c r="C177" i="4"/>
  <c r="G177" i="3"/>
  <c r="D197" i="4"/>
  <c r="L197" i="2"/>
  <c r="E197" i="4" s="1"/>
  <c r="H197" i="3"/>
  <c r="Q197" i="2"/>
  <c r="J197" i="4" s="1"/>
  <c r="P197" i="2"/>
  <c r="I197" i="4" s="1"/>
  <c r="M197" i="2"/>
  <c r="F197" i="4" s="1"/>
  <c r="D206" i="4"/>
  <c r="M206" i="2"/>
  <c r="F206" i="4" s="1"/>
  <c r="H206" i="3"/>
  <c r="Q206" i="2"/>
  <c r="J206" i="4" s="1"/>
  <c r="P206" i="2"/>
  <c r="I206" i="4" s="1"/>
  <c r="N206" i="2"/>
  <c r="G206" i="4" s="1"/>
  <c r="L206" i="2"/>
  <c r="E206" i="4" s="1"/>
  <c r="C248" i="4"/>
  <c r="K248" i="2"/>
  <c r="G248" i="3"/>
  <c r="C264" i="4"/>
  <c r="K264" i="2"/>
  <c r="G264" i="3"/>
  <c r="C287" i="4"/>
  <c r="G287" i="3"/>
  <c r="K287" i="2"/>
  <c r="C9" i="4"/>
  <c r="G9" i="3"/>
  <c r="C14" i="4"/>
  <c r="G14" i="3"/>
  <c r="C28" i="4"/>
  <c r="G28" i="3"/>
  <c r="C32" i="4"/>
  <c r="G32" i="3"/>
  <c r="C37" i="4"/>
  <c r="G37" i="3"/>
  <c r="C41" i="4"/>
  <c r="G41" i="3"/>
  <c r="D57" i="4"/>
  <c r="H57" i="3"/>
  <c r="C125" i="4"/>
  <c r="G125" i="3"/>
  <c r="D131" i="4"/>
  <c r="H131" i="3"/>
  <c r="I131" i="4"/>
  <c r="E131" i="4"/>
  <c r="D137" i="4"/>
  <c r="H137" i="3"/>
  <c r="F137" i="4"/>
  <c r="G137" i="4"/>
  <c r="D165" i="4"/>
  <c r="E165" i="4"/>
  <c r="H165" i="3"/>
  <c r="C175" i="4"/>
  <c r="G175" i="3"/>
  <c r="D177" i="4"/>
  <c r="H177" i="3"/>
  <c r="I177" i="4"/>
  <c r="E177" i="4"/>
  <c r="C207" i="4"/>
  <c r="G207" i="3"/>
  <c r="K207" i="2"/>
  <c r="D209" i="4"/>
  <c r="Q209" i="2"/>
  <c r="J209" i="4" s="1"/>
  <c r="H209" i="3"/>
  <c r="M209" i="2"/>
  <c r="F209" i="4" s="1"/>
  <c r="P209" i="2"/>
  <c r="I209" i="4" s="1"/>
  <c r="N209" i="2"/>
  <c r="G209" i="4" s="1"/>
  <c r="L209" i="2"/>
  <c r="E209" i="4" s="1"/>
  <c r="D46" i="4"/>
  <c r="H46" i="3"/>
  <c r="C52" i="4"/>
  <c r="G52" i="3"/>
  <c r="E57" i="4"/>
  <c r="D67" i="4"/>
  <c r="H67" i="3"/>
  <c r="C77" i="4"/>
  <c r="G77" i="3"/>
  <c r="D81" i="4"/>
  <c r="H81" i="3"/>
  <c r="F93" i="4"/>
  <c r="D98" i="4"/>
  <c r="H98" i="3"/>
  <c r="C100" i="4"/>
  <c r="G100" i="3"/>
  <c r="C105" i="4"/>
  <c r="G105" i="3"/>
  <c r="F131" i="4"/>
  <c r="D146" i="4"/>
  <c r="H146" i="3"/>
  <c r="I146" i="4"/>
  <c r="E146" i="4"/>
  <c r="C158" i="4"/>
  <c r="G158" i="3"/>
  <c r="G165" i="4"/>
  <c r="C188" i="4"/>
  <c r="K188" i="2"/>
  <c r="G188" i="3"/>
  <c r="D193" i="4"/>
  <c r="Q193" i="2"/>
  <c r="J193" i="4" s="1"/>
  <c r="H193" i="3"/>
  <c r="P193" i="2"/>
  <c r="I193" i="4" s="1"/>
  <c r="N193" i="2"/>
  <c r="G193" i="4" s="1"/>
  <c r="M193" i="2"/>
  <c r="F193" i="4" s="1"/>
  <c r="L193" i="2"/>
  <c r="E193" i="4" s="1"/>
  <c r="C204" i="4"/>
  <c r="K204" i="2"/>
  <c r="G204" i="3"/>
  <c r="D223" i="4"/>
  <c r="N223" i="2"/>
  <c r="G223" i="4" s="1"/>
  <c r="L223" i="2"/>
  <c r="E223" i="4" s="1"/>
  <c r="H223" i="3"/>
  <c r="P223" i="2"/>
  <c r="I223" i="4" s="1"/>
  <c r="M223" i="2"/>
  <c r="F223" i="4" s="1"/>
  <c r="Q223" i="2"/>
  <c r="J223" i="4" s="1"/>
  <c r="D226" i="4"/>
  <c r="P226" i="2"/>
  <c r="I226" i="4" s="1"/>
  <c r="H226" i="3"/>
  <c r="N226" i="2"/>
  <c r="G226" i="4" s="1"/>
  <c r="M226" i="2"/>
  <c r="F226" i="4" s="1"/>
  <c r="L226" i="2"/>
  <c r="E226" i="4" s="1"/>
  <c r="D258" i="4"/>
  <c r="P258" i="2"/>
  <c r="I258" i="4" s="1"/>
  <c r="H258" i="3"/>
  <c r="N258" i="2"/>
  <c r="G258" i="4" s="1"/>
  <c r="M258" i="2"/>
  <c r="F258" i="4" s="1"/>
  <c r="L258" i="2"/>
  <c r="E258" i="4" s="1"/>
  <c r="Q258" i="2"/>
  <c r="J258" i="4" s="1"/>
  <c r="C5" i="4"/>
  <c r="G5" i="3"/>
  <c r="D19" i="4"/>
  <c r="H19" i="3"/>
  <c r="C60" i="4"/>
  <c r="G60" i="3"/>
  <c r="C64" i="4"/>
  <c r="G64" i="3"/>
  <c r="C74" i="4"/>
  <c r="G74" i="3"/>
  <c r="D78" i="4"/>
  <c r="H78" i="3"/>
  <c r="F78" i="4"/>
  <c r="C84" i="4"/>
  <c r="G84" i="3"/>
  <c r="D108" i="4"/>
  <c r="H108" i="3"/>
  <c r="J108" i="4"/>
  <c r="G108" i="4"/>
  <c r="E108" i="4"/>
  <c r="D110" i="4"/>
  <c r="H110" i="3"/>
  <c r="J110" i="4"/>
  <c r="C112" i="4"/>
  <c r="G112" i="3"/>
  <c r="C56" i="4"/>
  <c r="G56" i="3"/>
  <c r="D161" i="4"/>
  <c r="J161" i="4"/>
  <c r="H161" i="3"/>
  <c r="I161" i="4"/>
  <c r="F161" i="4"/>
  <c r="E161" i="4"/>
  <c r="C172" i="4"/>
  <c r="G172" i="3"/>
  <c r="D178" i="4"/>
  <c r="H178" i="3"/>
  <c r="J178" i="4"/>
  <c r="G178" i="4"/>
  <c r="C180" i="4"/>
  <c r="G180" i="3"/>
  <c r="C194" i="4"/>
  <c r="G194" i="3"/>
  <c r="K194" i="2"/>
  <c r="C202" i="4"/>
  <c r="G202" i="3"/>
  <c r="D210" i="4"/>
  <c r="H210" i="3"/>
  <c r="P210" i="2"/>
  <c r="I210" i="4" s="1"/>
  <c r="Q210" i="2"/>
  <c r="J210" i="4" s="1"/>
  <c r="L210" i="2"/>
  <c r="E210" i="4" s="1"/>
  <c r="C232" i="4"/>
  <c r="K232" i="2"/>
  <c r="G232" i="3"/>
  <c r="C255" i="4"/>
  <c r="G255" i="3"/>
  <c r="K255" i="2"/>
  <c r="D271" i="4"/>
  <c r="N271" i="2"/>
  <c r="G271" i="4" s="1"/>
  <c r="L271" i="2"/>
  <c r="E271" i="4" s="1"/>
  <c r="H271" i="3"/>
  <c r="P271" i="2"/>
  <c r="I271" i="4" s="1"/>
  <c r="M271" i="2"/>
  <c r="F271" i="4" s="1"/>
  <c r="Q271" i="2"/>
  <c r="J271" i="4" s="1"/>
  <c r="C18" i="4"/>
  <c r="G18" i="3"/>
  <c r="C23" i="4"/>
  <c r="G23" i="3"/>
  <c r="D50" i="4"/>
  <c r="H50" i="3"/>
  <c r="E50" i="4"/>
  <c r="D53" i="4"/>
  <c r="H53" i="3"/>
  <c r="D49" i="4"/>
  <c r="H49" i="3"/>
  <c r="D52" i="4"/>
  <c r="H52" i="3"/>
  <c r="J52" i="4"/>
  <c r="D77" i="4"/>
  <c r="H77" i="3"/>
  <c r="E77" i="4"/>
  <c r="D100" i="4"/>
  <c r="H100" i="3"/>
  <c r="J100" i="4"/>
  <c r="E100" i="4"/>
  <c r="I108" i="4"/>
  <c r="C144" i="4"/>
  <c r="G144" i="3"/>
  <c r="C150" i="4"/>
  <c r="G150" i="3"/>
  <c r="C156" i="4"/>
  <c r="G156" i="3"/>
  <c r="E27" i="4"/>
  <c r="C48" i="4"/>
  <c r="G48" i="3"/>
  <c r="E49" i="4"/>
  <c r="J50" i="4"/>
  <c r="C59" i="4"/>
  <c r="G59" i="3"/>
  <c r="C69" i="4"/>
  <c r="G69" i="3"/>
  <c r="C73" i="4"/>
  <c r="G73" i="3"/>
  <c r="F77" i="4"/>
  <c r="G81" i="4"/>
  <c r="C83" i="4"/>
  <c r="G83" i="3"/>
  <c r="C87" i="4"/>
  <c r="G87" i="3"/>
  <c r="D90" i="4"/>
  <c r="H90" i="3"/>
  <c r="E90" i="4"/>
  <c r="D92" i="4"/>
  <c r="H92" i="3"/>
  <c r="J92" i="4"/>
  <c r="F100" i="4"/>
  <c r="G105" i="4"/>
  <c r="D107" i="4"/>
  <c r="H107" i="3"/>
  <c r="I107" i="4"/>
  <c r="C109" i="4"/>
  <c r="G109" i="3"/>
  <c r="I110" i="4"/>
  <c r="C113" i="4"/>
  <c r="G113" i="3"/>
  <c r="D115" i="4"/>
  <c r="H115" i="3"/>
  <c r="E115" i="4"/>
  <c r="F117" i="4"/>
  <c r="D121" i="4"/>
  <c r="H121" i="3"/>
  <c r="F121" i="4"/>
  <c r="E123" i="4"/>
  <c r="C130" i="4"/>
  <c r="G130" i="3"/>
  <c r="C136" i="4"/>
  <c r="G136" i="3"/>
  <c r="C138" i="4"/>
  <c r="G138" i="3"/>
  <c r="J146" i="4"/>
  <c r="C162" i="4"/>
  <c r="G162" i="3"/>
  <c r="F178" i="4"/>
  <c r="C183" i="4"/>
  <c r="G183" i="3"/>
  <c r="D191" i="4"/>
  <c r="N191" i="2"/>
  <c r="G191" i="4" s="1"/>
  <c r="H191" i="3"/>
  <c r="M191" i="2"/>
  <c r="F191" i="4" s="1"/>
  <c r="L191" i="2"/>
  <c r="E191" i="4" s="1"/>
  <c r="K202" i="2"/>
  <c r="D88" i="4"/>
  <c r="H88" i="3"/>
  <c r="E88" i="4"/>
  <c r="I88" i="4"/>
  <c r="D93" i="4"/>
  <c r="H93" i="3"/>
  <c r="J93" i="4"/>
  <c r="D96" i="4"/>
  <c r="H96" i="3"/>
  <c r="E96" i="4"/>
  <c r="C36" i="4"/>
  <c r="G36" i="3"/>
  <c r="C140" i="4"/>
  <c r="G140" i="3"/>
  <c r="D142" i="4"/>
  <c r="G142" i="4"/>
  <c r="J142" i="4"/>
  <c r="G53" i="4"/>
  <c r="M210" i="2"/>
  <c r="F210" i="4" s="1"/>
  <c r="C215" i="4"/>
  <c r="G215" i="3"/>
  <c r="K215" i="2"/>
  <c r="D239" i="4"/>
  <c r="N239" i="2"/>
  <c r="G239" i="4" s="1"/>
  <c r="L239" i="2"/>
  <c r="E239" i="4" s="1"/>
  <c r="H239" i="3"/>
  <c r="P239" i="2"/>
  <c r="I239" i="4" s="1"/>
  <c r="M239" i="2"/>
  <c r="F239" i="4" s="1"/>
  <c r="Q239" i="2"/>
  <c r="J239" i="4" s="1"/>
  <c r="D322" i="4"/>
  <c r="P322" i="2"/>
  <c r="I322" i="4" s="1"/>
  <c r="H322" i="3"/>
  <c r="N322" i="2"/>
  <c r="G322" i="4" s="1"/>
  <c r="M322" i="2"/>
  <c r="F322" i="4" s="1"/>
  <c r="L322" i="2"/>
  <c r="E322" i="4" s="1"/>
  <c r="Q322" i="2"/>
  <c r="J322" i="4" s="1"/>
  <c r="D352" i="4"/>
  <c r="P352" i="2"/>
  <c r="I352" i="4" s="1"/>
  <c r="M352" i="2"/>
  <c r="F352" i="4" s="1"/>
  <c r="H352" i="3"/>
  <c r="Q352" i="2"/>
  <c r="J352" i="4" s="1"/>
  <c r="N352" i="2"/>
  <c r="G352" i="4" s="1"/>
  <c r="L352" i="2"/>
  <c r="E352" i="4" s="1"/>
  <c r="D3" i="4"/>
  <c r="H3" i="3"/>
  <c r="C7" i="4"/>
  <c r="G7" i="3"/>
  <c r="C12" i="4"/>
  <c r="G12" i="3"/>
  <c r="C16" i="4"/>
  <c r="G16" i="3"/>
  <c r="C21" i="4"/>
  <c r="G21" i="3"/>
  <c r="C25" i="4"/>
  <c r="G25" i="3"/>
  <c r="C30" i="4"/>
  <c r="G30" i="3"/>
  <c r="C34" i="4"/>
  <c r="G34" i="3"/>
  <c r="D35" i="4"/>
  <c r="H35" i="3"/>
  <c r="C39" i="4"/>
  <c r="G39" i="3"/>
  <c r="C44" i="4"/>
  <c r="G44" i="3"/>
  <c r="G49" i="4"/>
  <c r="C51" i="4"/>
  <c r="G51" i="3"/>
  <c r="J57" i="4"/>
  <c r="D62" i="4"/>
  <c r="H62" i="3"/>
  <c r="D76" i="4"/>
  <c r="H76" i="3"/>
  <c r="I81" i="4"/>
  <c r="E92" i="4"/>
  <c r="D97" i="4"/>
  <c r="H97" i="3"/>
  <c r="I97" i="4"/>
  <c r="I100" i="4"/>
  <c r="J105" i="4"/>
  <c r="G117" i="4"/>
  <c r="I121" i="4"/>
  <c r="F123" i="4"/>
  <c r="D134" i="4"/>
  <c r="H134" i="3"/>
  <c r="G134" i="4"/>
  <c r="E134" i="4"/>
  <c r="D159" i="4"/>
  <c r="G159" i="4"/>
  <c r="H159" i="3"/>
  <c r="F159" i="4"/>
  <c r="J159" i="4"/>
  <c r="C170" i="4"/>
  <c r="G170" i="3"/>
  <c r="C181" i="4"/>
  <c r="G181" i="3"/>
  <c r="C186" i="4"/>
  <c r="G186" i="3"/>
  <c r="K186" i="2"/>
  <c r="P191" i="2"/>
  <c r="I191" i="4" s="1"/>
  <c r="C199" i="4"/>
  <c r="K199" i="2"/>
  <c r="G199" i="3"/>
  <c r="N210" i="2"/>
  <c r="G210" i="4" s="1"/>
  <c r="C216" i="4"/>
  <c r="G216" i="3"/>
  <c r="K216" i="2"/>
  <c r="D227" i="4"/>
  <c r="Q227" i="2"/>
  <c r="J227" i="4" s="1"/>
  <c r="H227" i="3"/>
  <c r="P227" i="2"/>
  <c r="I227" i="4" s="1"/>
  <c r="N227" i="2"/>
  <c r="G227" i="4" s="1"/>
  <c r="M227" i="2"/>
  <c r="F227" i="4" s="1"/>
  <c r="L227" i="2"/>
  <c r="E227" i="4" s="1"/>
  <c r="C246" i="4"/>
  <c r="K246" i="2"/>
  <c r="G246" i="3"/>
  <c r="C278" i="4"/>
  <c r="K278" i="2"/>
  <c r="G278" i="3"/>
  <c r="D290" i="4"/>
  <c r="P290" i="2"/>
  <c r="I290" i="4" s="1"/>
  <c r="H290" i="3"/>
  <c r="N290" i="2"/>
  <c r="G290" i="4" s="1"/>
  <c r="M290" i="2"/>
  <c r="F290" i="4" s="1"/>
  <c r="L290" i="2"/>
  <c r="E290" i="4" s="1"/>
  <c r="Q290" i="2"/>
  <c r="J290" i="4" s="1"/>
  <c r="C129" i="4"/>
  <c r="G129" i="3"/>
  <c r="E19" i="4"/>
  <c r="J96" i="4"/>
  <c r="C55" i="4"/>
  <c r="G55" i="3"/>
  <c r="C65" i="4"/>
  <c r="G65" i="3"/>
  <c r="C75" i="4"/>
  <c r="G75" i="3"/>
  <c r="C200" i="4"/>
  <c r="G200" i="3"/>
  <c r="C4" i="4"/>
  <c r="G4" i="3"/>
  <c r="C8" i="4"/>
  <c r="G8" i="3"/>
  <c r="C13" i="4"/>
  <c r="G13" i="3"/>
  <c r="C17" i="4"/>
  <c r="G17" i="3"/>
  <c r="C22" i="4"/>
  <c r="G22" i="3"/>
  <c r="C26" i="4"/>
  <c r="G26" i="3"/>
  <c r="D27" i="4"/>
  <c r="H27" i="3"/>
  <c r="C31" i="4"/>
  <c r="G31" i="3"/>
  <c r="C40" i="4"/>
  <c r="G40" i="3"/>
  <c r="C45" i="4"/>
  <c r="G45" i="3"/>
  <c r="C66" i="4"/>
  <c r="G66" i="3"/>
  <c r="D70" i="4"/>
  <c r="H70" i="3"/>
  <c r="I70" i="4"/>
  <c r="C80" i="4"/>
  <c r="G80" i="3"/>
  <c r="G88" i="4"/>
  <c r="C132" i="4"/>
  <c r="G132" i="3"/>
  <c r="D7" i="4"/>
  <c r="H7" i="3"/>
  <c r="D16" i="4"/>
  <c r="H16" i="3"/>
  <c r="D21" i="4"/>
  <c r="H21" i="3"/>
  <c r="E21" i="4"/>
  <c r="D25" i="4"/>
  <c r="H25" i="3"/>
  <c r="J25" i="4"/>
  <c r="D30" i="4"/>
  <c r="H30" i="3"/>
  <c r="F30" i="4"/>
  <c r="D34" i="4"/>
  <c r="H34" i="3"/>
  <c r="D39" i="4"/>
  <c r="H39" i="3"/>
  <c r="D51" i="4"/>
  <c r="H51" i="3"/>
  <c r="J53" i="4"/>
  <c r="C61" i="4"/>
  <c r="G61" i="3"/>
  <c r="G70" i="4"/>
  <c r="C79" i="4"/>
  <c r="G79" i="3"/>
  <c r="D89" i="4"/>
  <c r="H89" i="3"/>
  <c r="D126" i="4"/>
  <c r="H126" i="3"/>
  <c r="G126" i="4"/>
  <c r="J126" i="4"/>
  <c r="C141" i="4"/>
  <c r="G141" i="3"/>
  <c r="C145" i="4"/>
  <c r="G145" i="3"/>
  <c r="D151" i="4"/>
  <c r="G151" i="4"/>
  <c r="H151" i="3"/>
  <c r="I151" i="4"/>
  <c r="F151" i="4"/>
  <c r="E151" i="4"/>
  <c r="C164" i="4"/>
  <c r="G164" i="3"/>
  <c r="C6" i="4"/>
  <c r="G6" i="3"/>
  <c r="C10" i="4"/>
  <c r="G10" i="3"/>
  <c r="D11" i="4"/>
  <c r="H11" i="3"/>
  <c r="C15" i="4"/>
  <c r="G15" i="3"/>
  <c r="E16" i="4"/>
  <c r="C20" i="4"/>
  <c r="G20" i="3"/>
  <c r="C24" i="4"/>
  <c r="G24" i="3"/>
  <c r="C29" i="4"/>
  <c r="G29" i="3"/>
  <c r="C33" i="4"/>
  <c r="G33" i="3"/>
  <c r="E34" i="4"/>
  <c r="D106" i="4"/>
  <c r="H106" i="3"/>
  <c r="G106" i="4"/>
  <c r="I106" i="4"/>
  <c r="C114" i="4"/>
  <c r="G114" i="3"/>
  <c r="C120" i="4"/>
  <c r="G120" i="3"/>
  <c r="C122" i="4"/>
  <c r="G122" i="3"/>
  <c r="E126" i="4"/>
  <c r="C152" i="4"/>
  <c r="G152" i="3"/>
  <c r="C154" i="4"/>
  <c r="G154" i="3"/>
  <c r="C167" i="4"/>
  <c r="G167" i="3"/>
  <c r="D184" i="4"/>
  <c r="I184" i="4"/>
  <c r="H184" i="3"/>
  <c r="G184" i="4"/>
  <c r="E184" i="4"/>
  <c r="K200" i="2"/>
  <c r="C206" i="4"/>
  <c r="G206" i="3"/>
  <c r="C217" i="4"/>
  <c r="G217" i="3"/>
  <c r="K217" i="2"/>
  <c r="C89" i="4"/>
  <c r="G89" i="3"/>
  <c r="C93" i="4"/>
  <c r="G93" i="3"/>
  <c r="D94" i="4"/>
  <c r="H94" i="3"/>
  <c r="C98" i="4"/>
  <c r="G98" i="3"/>
  <c r="C103" i="4"/>
  <c r="G103" i="3"/>
  <c r="C107" i="4"/>
  <c r="G107" i="3"/>
  <c r="C117" i="4"/>
  <c r="G117" i="3"/>
  <c r="C121" i="4"/>
  <c r="G121" i="3"/>
  <c r="C133" i="4"/>
  <c r="G133" i="3"/>
  <c r="C137" i="4"/>
  <c r="G137" i="3"/>
  <c r="C146" i="4"/>
  <c r="G146" i="3"/>
  <c r="C151" i="4"/>
  <c r="G151" i="3"/>
  <c r="D182" i="4"/>
  <c r="F182" i="4"/>
  <c r="H182" i="3"/>
  <c r="G182" i="4"/>
  <c r="C191" i="4"/>
  <c r="G191" i="3"/>
  <c r="C193" i="4"/>
  <c r="G193" i="3"/>
  <c r="C197" i="4"/>
  <c r="G197" i="3"/>
  <c r="C210" i="4"/>
  <c r="G210" i="3"/>
  <c r="C223" i="4"/>
  <c r="G223" i="3"/>
  <c r="C230" i="4"/>
  <c r="K230" i="2"/>
  <c r="G230" i="3"/>
  <c r="C271" i="4"/>
  <c r="G271" i="3"/>
  <c r="D274" i="4"/>
  <c r="P274" i="2"/>
  <c r="I274" i="4" s="1"/>
  <c r="H274" i="3"/>
  <c r="N274" i="2"/>
  <c r="G274" i="4" s="1"/>
  <c r="M274" i="2"/>
  <c r="F274" i="4" s="1"/>
  <c r="L274" i="2"/>
  <c r="E274" i="4" s="1"/>
  <c r="C335" i="4"/>
  <c r="K335" i="2"/>
  <c r="G335" i="3"/>
  <c r="D362" i="4"/>
  <c r="P362" i="2"/>
  <c r="I362" i="4" s="1"/>
  <c r="H362" i="3"/>
  <c r="Q362" i="2"/>
  <c r="J362" i="4" s="1"/>
  <c r="N362" i="2"/>
  <c r="G362" i="4" s="1"/>
  <c r="M362" i="2"/>
  <c r="F362" i="4" s="1"/>
  <c r="D386" i="4"/>
  <c r="P386" i="2"/>
  <c r="I386" i="4" s="1"/>
  <c r="H386" i="3"/>
  <c r="N386" i="2"/>
  <c r="G386" i="4" s="1"/>
  <c r="M386" i="2"/>
  <c r="F386" i="4" s="1"/>
  <c r="L386" i="2"/>
  <c r="E386" i="4" s="1"/>
  <c r="Q386" i="2"/>
  <c r="J386" i="4" s="1"/>
  <c r="C416" i="4"/>
  <c r="G416" i="3"/>
  <c r="K416" i="2"/>
  <c r="C296" i="4"/>
  <c r="K296" i="2"/>
  <c r="G296" i="3"/>
  <c r="C336" i="4"/>
  <c r="G336" i="3"/>
  <c r="C370" i="4"/>
  <c r="G370" i="3"/>
  <c r="C424" i="4"/>
  <c r="G424" i="3"/>
  <c r="K424" i="2"/>
  <c r="C92" i="4"/>
  <c r="G92" i="3"/>
  <c r="C97" i="4"/>
  <c r="G97" i="3"/>
  <c r="C101" i="4"/>
  <c r="G101" i="3"/>
  <c r="D102" i="4"/>
  <c r="H102" i="3"/>
  <c r="C106" i="4"/>
  <c r="G106" i="3"/>
  <c r="C123" i="4"/>
  <c r="G123" i="3"/>
  <c r="C139" i="4"/>
  <c r="G139" i="3"/>
  <c r="C148" i="4"/>
  <c r="G148" i="3"/>
  <c r="C239" i="4"/>
  <c r="G239" i="3"/>
  <c r="D242" i="4"/>
  <c r="P242" i="2"/>
  <c r="I242" i="4" s="1"/>
  <c r="H242" i="3"/>
  <c r="N242" i="2"/>
  <c r="G242" i="4" s="1"/>
  <c r="M242" i="2"/>
  <c r="F242" i="4" s="1"/>
  <c r="L242" i="2"/>
  <c r="E242" i="4" s="1"/>
  <c r="C280" i="4"/>
  <c r="K280" i="2"/>
  <c r="G280" i="3"/>
  <c r="D306" i="4"/>
  <c r="P306" i="2"/>
  <c r="I306" i="4" s="1"/>
  <c r="H306" i="3"/>
  <c r="N306" i="2"/>
  <c r="G306" i="4" s="1"/>
  <c r="M306" i="2"/>
  <c r="F306" i="4" s="1"/>
  <c r="L306" i="2"/>
  <c r="E306" i="4" s="1"/>
  <c r="C319" i="4"/>
  <c r="K319" i="2"/>
  <c r="G319" i="3"/>
  <c r="K336" i="2"/>
  <c r="D346" i="4"/>
  <c r="P346" i="2"/>
  <c r="I346" i="4" s="1"/>
  <c r="H346" i="3"/>
  <c r="Q346" i="2"/>
  <c r="J346" i="4" s="1"/>
  <c r="N346" i="2"/>
  <c r="G346" i="4" s="1"/>
  <c r="M346" i="2"/>
  <c r="F346" i="4" s="1"/>
  <c r="K370" i="2"/>
  <c r="C383" i="4"/>
  <c r="G383" i="3"/>
  <c r="K383" i="2"/>
  <c r="C320" i="4"/>
  <c r="G320" i="3"/>
  <c r="C354" i="4"/>
  <c r="G354" i="3"/>
  <c r="C384" i="4"/>
  <c r="G384" i="3"/>
  <c r="C390" i="4"/>
  <c r="G390" i="3"/>
  <c r="K390" i="2"/>
  <c r="C400" i="4"/>
  <c r="G400" i="3"/>
  <c r="K400" i="2"/>
  <c r="D425" i="4"/>
  <c r="Q425" i="2"/>
  <c r="J425" i="4" s="1"/>
  <c r="N425" i="2"/>
  <c r="G425" i="4" s="1"/>
  <c r="H425" i="3"/>
  <c r="P425" i="2"/>
  <c r="I425" i="4" s="1"/>
  <c r="M425" i="2"/>
  <c r="F425" i="4" s="1"/>
  <c r="L425" i="2"/>
  <c r="E425" i="4" s="1"/>
  <c r="C294" i="4"/>
  <c r="K294" i="2"/>
  <c r="G294" i="3"/>
  <c r="C303" i="4"/>
  <c r="G303" i="3"/>
  <c r="K303" i="2"/>
  <c r="K320" i="2"/>
  <c r="K354" i="2"/>
  <c r="C367" i="4"/>
  <c r="G367" i="3"/>
  <c r="K367" i="2"/>
  <c r="D384" i="4"/>
  <c r="P384" i="2"/>
  <c r="I384" i="4" s="1"/>
  <c r="H384" i="3"/>
  <c r="M384" i="2"/>
  <c r="F384" i="4" s="1"/>
  <c r="Q384" i="2"/>
  <c r="J384" i="4" s="1"/>
  <c r="N384" i="2"/>
  <c r="G384" i="4" s="1"/>
  <c r="L384" i="2"/>
  <c r="E384" i="4" s="1"/>
  <c r="D431" i="4"/>
  <c r="N431" i="2"/>
  <c r="G431" i="4" s="1"/>
  <c r="H431" i="3"/>
  <c r="L431" i="2"/>
  <c r="E431" i="4" s="1"/>
  <c r="P431" i="2"/>
  <c r="I431" i="4" s="1"/>
  <c r="Q431" i="2"/>
  <c r="J431" i="4" s="1"/>
  <c r="M431" i="2"/>
  <c r="F431" i="4" s="1"/>
  <c r="C338" i="4"/>
  <c r="G338" i="3"/>
  <c r="C368" i="4"/>
  <c r="G368" i="3"/>
  <c r="C440" i="4"/>
  <c r="G440" i="3"/>
  <c r="K440" i="2"/>
  <c r="C3" i="4"/>
  <c r="G3" i="3"/>
  <c r="C11" i="4"/>
  <c r="G11" i="3"/>
  <c r="C19" i="4"/>
  <c r="G19" i="3"/>
  <c r="C27" i="4"/>
  <c r="G27" i="3"/>
  <c r="C35" i="4"/>
  <c r="G35" i="3"/>
  <c r="C43" i="4"/>
  <c r="G43" i="3"/>
  <c r="C49" i="4"/>
  <c r="G49" i="3"/>
  <c r="C53" i="4"/>
  <c r="G53" i="3"/>
  <c r="D54" i="4"/>
  <c r="H54" i="3"/>
  <c r="C58" i="4"/>
  <c r="G58" i="3"/>
  <c r="C63" i="4"/>
  <c r="G63" i="3"/>
  <c r="C67" i="4"/>
  <c r="G67" i="3"/>
  <c r="C72" i="4"/>
  <c r="G72" i="3"/>
  <c r="C76" i="4"/>
  <c r="G76" i="3"/>
  <c r="C81" i="4"/>
  <c r="G81" i="3"/>
  <c r="C85" i="4"/>
  <c r="G85" i="3"/>
  <c r="D86" i="4"/>
  <c r="H86" i="3"/>
  <c r="C90" i="4"/>
  <c r="G90" i="3"/>
  <c r="C95" i="4"/>
  <c r="G95" i="3"/>
  <c r="C99" i="4"/>
  <c r="G99" i="3"/>
  <c r="I102" i="4"/>
  <c r="C104" i="4"/>
  <c r="G104" i="3"/>
  <c r="C108" i="4"/>
  <c r="G108" i="3"/>
  <c r="C115" i="4"/>
  <c r="G115" i="3"/>
  <c r="C131" i="4"/>
  <c r="G131" i="3"/>
  <c r="D147" i="4"/>
  <c r="H147" i="3"/>
  <c r="J147" i="4"/>
  <c r="I147" i="4"/>
  <c r="C159" i="4"/>
  <c r="G159" i="3"/>
  <c r="C161" i="4"/>
  <c r="G161" i="3"/>
  <c r="C165" i="4"/>
  <c r="G165" i="3"/>
  <c r="D171" i="4"/>
  <c r="H171" i="3"/>
  <c r="I171" i="4"/>
  <c r="G171" i="4"/>
  <c r="C178" i="4"/>
  <c r="G178" i="3"/>
  <c r="C184" i="4"/>
  <c r="G184" i="3"/>
  <c r="C190" i="4"/>
  <c r="K190" i="2"/>
  <c r="G190" i="3"/>
  <c r="C196" i="4"/>
  <c r="K196" i="2"/>
  <c r="G196" i="3"/>
  <c r="C209" i="4"/>
  <c r="G209" i="3"/>
  <c r="C220" i="4"/>
  <c r="K220" i="2"/>
  <c r="G220" i="3"/>
  <c r="C262" i="4"/>
  <c r="K262" i="2"/>
  <c r="G262" i="3"/>
  <c r="C310" i="4"/>
  <c r="K310" i="2"/>
  <c r="G310" i="3"/>
  <c r="K338" i="2"/>
  <c r="C351" i="4"/>
  <c r="G351" i="3"/>
  <c r="K351" i="2"/>
  <c r="K368" i="2"/>
  <c r="D378" i="4"/>
  <c r="P378" i="2"/>
  <c r="I378" i="4" s="1"/>
  <c r="H378" i="3"/>
  <c r="Q378" i="2"/>
  <c r="J378" i="4" s="1"/>
  <c r="N378" i="2"/>
  <c r="G378" i="4" s="1"/>
  <c r="M378" i="2"/>
  <c r="F378" i="4" s="1"/>
  <c r="C433" i="4"/>
  <c r="G433" i="3"/>
  <c r="K433" i="2"/>
  <c r="C449" i="4"/>
  <c r="G449" i="3"/>
  <c r="K449" i="2"/>
  <c r="C322" i="4"/>
  <c r="G322" i="3"/>
  <c r="C352" i="4"/>
  <c r="G352" i="3"/>
  <c r="L378" i="2"/>
  <c r="E378" i="4" s="1"/>
  <c r="D381" i="4"/>
  <c r="L381" i="2"/>
  <c r="E381" i="4" s="1"/>
  <c r="H381" i="3"/>
  <c r="Q381" i="2"/>
  <c r="J381" i="4" s="1"/>
  <c r="P381" i="2"/>
  <c r="I381" i="4" s="1"/>
  <c r="M381" i="2"/>
  <c r="F381" i="4" s="1"/>
  <c r="C386" i="4"/>
  <c r="G386" i="3"/>
  <c r="D392" i="4"/>
  <c r="P392" i="2"/>
  <c r="I392" i="4" s="1"/>
  <c r="H392" i="3"/>
  <c r="M392" i="2"/>
  <c r="F392" i="4" s="1"/>
  <c r="L392" i="2"/>
  <c r="E392" i="4" s="1"/>
  <c r="Q392" i="2"/>
  <c r="J392" i="4" s="1"/>
  <c r="N392" i="2"/>
  <c r="G392" i="4" s="1"/>
  <c r="D409" i="4"/>
  <c r="Q409" i="2"/>
  <c r="J409" i="4" s="1"/>
  <c r="N409" i="2"/>
  <c r="G409" i="4" s="1"/>
  <c r="H409" i="3"/>
  <c r="L409" i="2"/>
  <c r="E409" i="4" s="1"/>
  <c r="M409" i="2"/>
  <c r="F409" i="4" s="1"/>
  <c r="D415" i="4"/>
  <c r="N415" i="2"/>
  <c r="G415" i="4" s="1"/>
  <c r="H415" i="3"/>
  <c r="L415" i="2"/>
  <c r="E415" i="4" s="1"/>
  <c r="P415" i="2"/>
  <c r="I415" i="4" s="1"/>
  <c r="M415" i="2"/>
  <c r="F415" i="4" s="1"/>
  <c r="Q415" i="2"/>
  <c r="J415" i="4" s="1"/>
  <c r="C392" i="4"/>
  <c r="G392" i="3"/>
  <c r="C401" i="4"/>
  <c r="G401" i="3"/>
  <c r="K401" i="2"/>
  <c r="D448" i="4"/>
  <c r="P448" i="2"/>
  <c r="I448" i="4" s="1"/>
  <c r="H448" i="3"/>
  <c r="M448" i="2"/>
  <c r="F448" i="4" s="1"/>
  <c r="Q448" i="2"/>
  <c r="J448" i="4" s="1"/>
  <c r="N448" i="2"/>
  <c r="G448" i="4" s="1"/>
  <c r="L448" i="2"/>
  <c r="E448" i="4" s="1"/>
  <c r="D451" i="4"/>
  <c r="Q451" i="2"/>
  <c r="J451" i="4" s="1"/>
  <c r="H451" i="3"/>
  <c r="P451" i="2"/>
  <c r="I451" i="4" s="1"/>
  <c r="N451" i="2"/>
  <c r="G451" i="4" s="1"/>
  <c r="D459" i="4"/>
  <c r="Q459" i="2"/>
  <c r="J459" i="4" s="1"/>
  <c r="H459" i="3"/>
  <c r="L459" i="2"/>
  <c r="E459" i="4" s="1"/>
  <c r="P459" i="2"/>
  <c r="I459" i="4" s="1"/>
  <c r="N459" i="2"/>
  <c r="G459" i="4" s="1"/>
  <c r="C466" i="4"/>
  <c r="G466" i="3"/>
  <c r="K466" i="2"/>
  <c r="C470" i="4"/>
  <c r="G470" i="3"/>
  <c r="K470" i="2"/>
  <c r="D472" i="4"/>
  <c r="P472" i="2"/>
  <c r="I472" i="4" s="1"/>
  <c r="M472" i="2"/>
  <c r="F472" i="4" s="1"/>
  <c r="H472" i="3"/>
  <c r="L472" i="2"/>
  <c r="E472" i="4" s="1"/>
  <c r="Q472" i="2"/>
  <c r="J472" i="4" s="1"/>
  <c r="N472" i="2"/>
  <c r="G472" i="4" s="1"/>
  <c r="D498" i="4"/>
  <c r="H498" i="3"/>
  <c r="Q498" i="2"/>
  <c r="J498" i="4" s="1"/>
  <c r="P498" i="2"/>
  <c r="I498" i="4" s="1"/>
  <c r="N498" i="2"/>
  <c r="G498" i="4" s="1"/>
  <c r="M498" i="2"/>
  <c r="F498" i="4" s="1"/>
  <c r="G192" i="3"/>
  <c r="C316" i="4"/>
  <c r="K316" i="2"/>
  <c r="G316" i="3"/>
  <c r="C326" i="4"/>
  <c r="K326" i="2"/>
  <c r="G326" i="3"/>
  <c r="C332" i="4"/>
  <c r="K332" i="2"/>
  <c r="G332" i="3"/>
  <c r="C342" i="4"/>
  <c r="K342" i="2"/>
  <c r="G342" i="3"/>
  <c r="C348" i="4"/>
  <c r="K348" i="2"/>
  <c r="G348" i="3"/>
  <c r="C358" i="4"/>
  <c r="K358" i="2"/>
  <c r="G358" i="3"/>
  <c r="C364" i="4"/>
  <c r="K364" i="2"/>
  <c r="G364" i="3"/>
  <c r="C374" i="4"/>
  <c r="K374" i="2"/>
  <c r="G374" i="3"/>
  <c r="C380" i="4"/>
  <c r="G380" i="3"/>
  <c r="K380" i="2"/>
  <c r="D419" i="4"/>
  <c r="Q419" i="2"/>
  <c r="J419" i="4" s="1"/>
  <c r="H419" i="3"/>
  <c r="P419" i="2"/>
  <c r="I419" i="4" s="1"/>
  <c r="N419" i="2"/>
  <c r="G419" i="4" s="1"/>
  <c r="D427" i="4"/>
  <c r="Q427" i="2"/>
  <c r="J427" i="4" s="1"/>
  <c r="H427" i="3"/>
  <c r="L427" i="2"/>
  <c r="E427" i="4" s="1"/>
  <c r="P427" i="2"/>
  <c r="I427" i="4" s="1"/>
  <c r="N427" i="2"/>
  <c r="G427" i="4" s="1"/>
  <c r="C434" i="4"/>
  <c r="G434" i="3"/>
  <c r="K434" i="2"/>
  <c r="C438" i="4"/>
  <c r="G438" i="3"/>
  <c r="K438" i="2"/>
  <c r="M451" i="2"/>
  <c r="F451" i="4" s="1"/>
  <c r="C464" i="4"/>
  <c r="G464" i="3"/>
  <c r="D473" i="4"/>
  <c r="H473" i="3"/>
  <c r="Q473" i="2"/>
  <c r="J473" i="4" s="1"/>
  <c r="N473" i="2"/>
  <c r="G473" i="4" s="1"/>
  <c r="D479" i="4"/>
  <c r="H479" i="3"/>
  <c r="N479" i="2"/>
  <c r="G479" i="4" s="1"/>
  <c r="L479" i="2"/>
  <c r="E479" i="4" s="1"/>
  <c r="P479" i="2"/>
  <c r="I479" i="4" s="1"/>
  <c r="C488" i="4"/>
  <c r="G488" i="3"/>
  <c r="D496" i="4"/>
  <c r="P496" i="2"/>
  <c r="I496" i="4" s="1"/>
  <c r="N496" i="2"/>
  <c r="G496" i="4" s="1"/>
  <c r="M496" i="2"/>
  <c r="F496" i="4" s="1"/>
  <c r="H496" i="3"/>
  <c r="Q496" i="2"/>
  <c r="J496" i="4" s="1"/>
  <c r="G149" i="3"/>
  <c r="G231" i="3"/>
  <c r="G304" i="3"/>
  <c r="C236" i="4"/>
  <c r="K236" i="2"/>
  <c r="G236" i="3"/>
  <c r="C252" i="4"/>
  <c r="K252" i="2"/>
  <c r="G252" i="3"/>
  <c r="C268" i="4"/>
  <c r="K268" i="2"/>
  <c r="G268" i="3"/>
  <c r="C284" i="4"/>
  <c r="K284" i="2"/>
  <c r="G284" i="3"/>
  <c r="C300" i="4"/>
  <c r="K300" i="2"/>
  <c r="G300" i="3"/>
  <c r="D393" i="4"/>
  <c r="Q393" i="2"/>
  <c r="J393" i="4" s="1"/>
  <c r="N393" i="2"/>
  <c r="G393" i="4" s="1"/>
  <c r="H393" i="3"/>
  <c r="D399" i="4"/>
  <c r="N399" i="2"/>
  <c r="G399" i="4" s="1"/>
  <c r="H399" i="3"/>
  <c r="L399" i="2"/>
  <c r="E399" i="4" s="1"/>
  <c r="P399" i="2"/>
  <c r="I399" i="4" s="1"/>
  <c r="C408" i="4"/>
  <c r="G408" i="3"/>
  <c r="C417" i="4"/>
  <c r="G417" i="3"/>
  <c r="K417" i="2"/>
  <c r="K464" i="2"/>
  <c r="D467" i="4"/>
  <c r="Q467" i="2"/>
  <c r="J467" i="4" s="1"/>
  <c r="H467" i="3"/>
  <c r="P467" i="2"/>
  <c r="I467" i="4" s="1"/>
  <c r="N467" i="2"/>
  <c r="G467" i="4" s="1"/>
  <c r="L473" i="2"/>
  <c r="E473" i="4" s="1"/>
  <c r="D475" i="4"/>
  <c r="H475" i="3"/>
  <c r="Q475" i="2"/>
  <c r="J475" i="4" s="1"/>
  <c r="L475" i="2"/>
  <c r="E475" i="4" s="1"/>
  <c r="P475" i="2"/>
  <c r="I475" i="4" s="1"/>
  <c r="N475" i="2"/>
  <c r="G475" i="4" s="1"/>
  <c r="M479" i="2"/>
  <c r="F479" i="4" s="1"/>
  <c r="C482" i="4"/>
  <c r="G482" i="3"/>
  <c r="K482" i="2"/>
  <c r="C486" i="4"/>
  <c r="G486" i="3"/>
  <c r="K486" i="2"/>
  <c r="K488" i="2"/>
  <c r="L496" i="2"/>
  <c r="E496" i="4" s="1"/>
  <c r="G111" i="3"/>
  <c r="G127" i="3"/>
  <c r="G143" i="3"/>
  <c r="G166" i="3"/>
  <c r="G189" i="3"/>
  <c r="G247" i="3"/>
  <c r="C153" i="4"/>
  <c r="G153" i="3"/>
  <c r="C169" i="4"/>
  <c r="G169" i="3"/>
  <c r="C176" i="4"/>
  <c r="K189" i="2"/>
  <c r="K192" i="2"/>
  <c r="C201" i="4"/>
  <c r="G201" i="3"/>
  <c r="C208" i="4"/>
  <c r="K208" i="2"/>
  <c r="C233" i="4"/>
  <c r="G233" i="3"/>
  <c r="C249" i="4"/>
  <c r="G249" i="3"/>
  <c r="C265" i="4"/>
  <c r="G265" i="3"/>
  <c r="C281" i="4"/>
  <c r="G281" i="3"/>
  <c r="C297" i="4"/>
  <c r="G297" i="3"/>
  <c r="C313" i="4"/>
  <c r="G313" i="3"/>
  <c r="D323" i="4"/>
  <c r="Q323" i="2"/>
  <c r="J323" i="4" s="1"/>
  <c r="H323" i="3"/>
  <c r="C329" i="4"/>
  <c r="G329" i="3"/>
  <c r="C343" i="4"/>
  <c r="G343" i="3"/>
  <c r="C345" i="4"/>
  <c r="G345" i="3"/>
  <c r="C359" i="4"/>
  <c r="G359" i="3"/>
  <c r="C361" i="4"/>
  <c r="G361" i="3"/>
  <c r="C375" i="4"/>
  <c r="G375" i="3"/>
  <c r="C377" i="4"/>
  <c r="G377" i="3"/>
  <c r="D387" i="4"/>
  <c r="Q387" i="2"/>
  <c r="J387" i="4" s="1"/>
  <c r="H387" i="3"/>
  <c r="P387" i="2"/>
  <c r="I387" i="4" s="1"/>
  <c r="N387" i="2"/>
  <c r="G387" i="4" s="1"/>
  <c r="L393" i="2"/>
  <c r="E393" i="4" s="1"/>
  <c r="D395" i="4"/>
  <c r="Q395" i="2"/>
  <c r="J395" i="4" s="1"/>
  <c r="H395" i="3"/>
  <c r="L395" i="2"/>
  <c r="E395" i="4" s="1"/>
  <c r="P395" i="2"/>
  <c r="I395" i="4" s="1"/>
  <c r="N395" i="2"/>
  <c r="G395" i="4" s="1"/>
  <c r="M399" i="2"/>
  <c r="F399" i="4" s="1"/>
  <c r="C402" i="4"/>
  <c r="G402" i="3"/>
  <c r="K402" i="2"/>
  <c r="C406" i="4"/>
  <c r="G406" i="3"/>
  <c r="K406" i="2"/>
  <c r="K408" i="2"/>
  <c r="M419" i="2"/>
  <c r="F419" i="4" s="1"/>
  <c r="C432" i="4"/>
  <c r="G432" i="3"/>
  <c r="D441" i="4"/>
  <c r="Q441" i="2"/>
  <c r="J441" i="4" s="1"/>
  <c r="N441" i="2"/>
  <c r="G441" i="4" s="1"/>
  <c r="H441" i="3"/>
  <c r="D447" i="4"/>
  <c r="N447" i="2"/>
  <c r="G447" i="4" s="1"/>
  <c r="H447" i="3"/>
  <c r="L447" i="2"/>
  <c r="E447" i="4" s="1"/>
  <c r="P447" i="2"/>
  <c r="I447" i="4" s="1"/>
  <c r="C456" i="4"/>
  <c r="G456" i="3"/>
  <c r="C465" i="4"/>
  <c r="G465" i="3"/>
  <c r="K465" i="2"/>
  <c r="L467" i="2"/>
  <c r="E467" i="4" s="1"/>
  <c r="M473" i="2"/>
  <c r="F473" i="4" s="1"/>
  <c r="M475" i="2"/>
  <c r="F475" i="4" s="1"/>
  <c r="Q479" i="2"/>
  <c r="J479" i="4" s="1"/>
  <c r="G46" i="3"/>
  <c r="G62" i="3"/>
  <c r="G78" i="3"/>
  <c r="G94" i="3"/>
  <c r="G110" i="3"/>
  <c r="G126" i="3"/>
  <c r="G142" i="3"/>
  <c r="G160" i="3"/>
  <c r="G224" i="3"/>
  <c r="G263" i="3"/>
  <c r="D163" i="4"/>
  <c r="H163" i="3"/>
  <c r="D179" i="4"/>
  <c r="H179" i="3"/>
  <c r="J179" i="4"/>
  <c r="C185" i="4"/>
  <c r="K185" i="2"/>
  <c r="G185" i="3"/>
  <c r="D195" i="4"/>
  <c r="K198" i="2"/>
  <c r="K201" i="2"/>
  <c r="K205" i="2"/>
  <c r="D211" i="4"/>
  <c r="Q211" i="2"/>
  <c r="J211" i="4" s="1"/>
  <c r="H211" i="3"/>
  <c r="C214" i="4"/>
  <c r="K214" i="2"/>
  <c r="K224" i="2"/>
  <c r="C226" i="4"/>
  <c r="G226" i="3"/>
  <c r="K231" i="2"/>
  <c r="K233" i="2"/>
  <c r="K240" i="2"/>
  <c r="C242" i="4"/>
  <c r="G242" i="3"/>
  <c r="K247" i="2"/>
  <c r="K249" i="2"/>
  <c r="K256" i="2"/>
  <c r="C258" i="4"/>
  <c r="G258" i="3"/>
  <c r="K263" i="2"/>
  <c r="K265" i="2"/>
  <c r="K272" i="2"/>
  <c r="C274" i="4"/>
  <c r="G274" i="3"/>
  <c r="K279" i="2"/>
  <c r="K281" i="2"/>
  <c r="K288" i="2"/>
  <c r="C290" i="4"/>
  <c r="G290" i="3"/>
  <c r="K295" i="2"/>
  <c r="K297" i="2"/>
  <c r="K304" i="2"/>
  <c r="C306" i="4"/>
  <c r="G306" i="3"/>
  <c r="K311" i="2"/>
  <c r="K313" i="2"/>
  <c r="K327" i="2"/>
  <c r="K329" i="2"/>
  <c r="K343" i="2"/>
  <c r="K345" i="2"/>
  <c r="K359" i="2"/>
  <c r="K361" i="2"/>
  <c r="L371" i="2"/>
  <c r="E371" i="4" s="1"/>
  <c r="K375" i="2"/>
  <c r="K377" i="2"/>
  <c r="L387" i="2"/>
  <c r="E387" i="4" s="1"/>
  <c r="M393" i="2"/>
  <c r="F393" i="4" s="1"/>
  <c r="M395" i="2"/>
  <c r="F395" i="4" s="1"/>
  <c r="Q399" i="2"/>
  <c r="J399" i="4" s="1"/>
  <c r="K432" i="2"/>
  <c r="D435" i="4"/>
  <c r="Q435" i="2"/>
  <c r="J435" i="4" s="1"/>
  <c r="H435" i="3"/>
  <c r="P435" i="2"/>
  <c r="I435" i="4" s="1"/>
  <c r="N435" i="2"/>
  <c r="G435" i="4" s="1"/>
  <c r="L441" i="2"/>
  <c r="E441" i="4" s="1"/>
  <c r="D443" i="4"/>
  <c r="Q443" i="2"/>
  <c r="J443" i="4" s="1"/>
  <c r="H443" i="3"/>
  <c r="L443" i="2"/>
  <c r="E443" i="4" s="1"/>
  <c r="P443" i="2"/>
  <c r="I443" i="4" s="1"/>
  <c r="N443" i="2"/>
  <c r="G443" i="4" s="1"/>
  <c r="M447" i="2"/>
  <c r="F447" i="4" s="1"/>
  <c r="C450" i="4"/>
  <c r="G450" i="3"/>
  <c r="K450" i="2"/>
  <c r="C454" i="4"/>
  <c r="G454" i="3"/>
  <c r="K454" i="2"/>
  <c r="K456" i="2"/>
  <c r="M467" i="2"/>
  <c r="F467" i="4" s="1"/>
  <c r="P473" i="2"/>
  <c r="I473" i="4" s="1"/>
  <c r="C480" i="4"/>
  <c r="G480" i="3"/>
  <c r="D489" i="4"/>
  <c r="H489" i="3"/>
  <c r="Q489" i="2"/>
  <c r="J489" i="4" s="1"/>
  <c r="N489" i="2"/>
  <c r="G489" i="4" s="1"/>
  <c r="G182" i="3"/>
  <c r="G205" i="3"/>
  <c r="G279" i="3"/>
  <c r="D480" i="4"/>
  <c r="P480" i="2"/>
  <c r="I480" i="4" s="1"/>
  <c r="M480" i="2"/>
  <c r="F480" i="4" s="1"/>
  <c r="H480" i="3"/>
  <c r="Q480" i="2"/>
  <c r="J480" i="4" s="1"/>
  <c r="N480" i="2"/>
  <c r="G480" i="4" s="1"/>
  <c r="L480" i="2"/>
  <c r="E480" i="4" s="1"/>
  <c r="D483" i="4"/>
  <c r="Q483" i="2"/>
  <c r="J483" i="4" s="1"/>
  <c r="H483" i="3"/>
  <c r="P483" i="2"/>
  <c r="I483" i="4" s="1"/>
  <c r="N483" i="2"/>
  <c r="G483" i="4" s="1"/>
  <c r="D491" i="4"/>
  <c r="Q491" i="2"/>
  <c r="J491" i="4" s="1"/>
  <c r="H491" i="3"/>
  <c r="L491" i="2"/>
  <c r="E491" i="4" s="1"/>
  <c r="P491" i="2"/>
  <c r="I491" i="4" s="1"/>
  <c r="N491" i="2"/>
  <c r="G491" i="4" s="1"/>
  <c r="G176" i="3"/>
  <c r="G240" i="3"/>
  <c r="G295" i="3"/>
  <c r="D403" i="4"/>
  <c r="Q403" i="2"/>
  <c r="J403" i="4" s="1"/>
  <c r="H403" i="3"/>
  <c r="P403" i="2"/>
  <c r="I403" i="4" s="1"/>
  <c r="N403" i="2"/>
  <c r="G403" i="4" s="1"/>
  <c r="D411" i="4"/>
  <c r="Q411" i="2"/>
  <c r="J411" i="4" s="1"/>
  <c r="H411" i="3"/>
  <c r="L411" i="2"/>
  <c r="E411" i="4" s="1"/>
  <c r="P411" i="2"/>
  <c r="I411" i="4" s="1"/>
  <c r="N411" i="2"/>
  <c r="G411" i="4" s="1"/>
  <c r="C418" i="4"/>
  <c r="G418" i="3"/>
  <c r="K418" i="2"/>
  <c r="C422" i="4"/>
  <c r="G422" i="3"/>
  <c r="K422" i="2"/>
  <c r="C448" i="4"/>
  <c r="G448" i="3"/>
  <c r="D457" i="4"/>
  <c r="Q457" i="2"/>
  <c r="J457" i="4" s="1"/>
  <c r="N457" i="2"/>
  <c r="G457" i="4" s="1"/>
  <c r="H457" i="3"/>
  <c r="D463" i="4"/>
  <c r="N463" i="2"/>
  <c r="G463" i="4" s="1"/>
  <c r="H463" i="3"/>
  <c r="L463" i="2"/>
  <c r="E463" i="4" s="1"/>
  <c r="P463" i="2"/>
  <c r="I463" i="4" s="1"/>
  <c r="C472" i="4"/>
  <c r="G472" i="3"/>
  <c r="C481" i="4"/>
  <c r="G481" i="3"/>
  <c r="K481" i="2"/>
  <c r="L483" i="2"/>
  <c r="E483" i="4" s="1"/>
  <c r="M491" i="2"/>
  <c r="F491" i="4" s="1"/>
  <c r="G119" i="3"/>
  <c r="G135" i="3"/>
  <c r="G157" i="3"/>
  <c r="G198" i="3"/>
  <c r="G256" i="3"/>
  <c r="G311" i="3"/>
  <c r="G225" i="3"/>
  <c r="G241" i="3"/>
  <c r="G257" i="3"/>
  <c r="G273" i="3"/>
  <c r="G289" i="3"/>
  <c r="G305" i="3"/>
  <c r="G321" i="3"/>
  <c r="G337" i="3"/>
  <c r="C344" i="4"/>
  <c r="G344" i="3"/>
  <c r="C360" i="4"/>
  <c r="G360" i="3"/>
  <c r="C376" i="4"/>
  <c r="G376" i="3"/>
  <c r="D394" i="4"/>
  <c r="P394" i="2"/>
  <c r="I394" i="4" s="1"/>
  <c r="H394" i="3"/>
  <c r="D397" i="4"/>
  <c r="L397" i="2"/>
  <c r="E397" i="4" s="1"/>
  <c r="H397" i="3"/>
  <c r="D410" i="4"/>
  <c r="P410" i="2"/>
  <c r="I410" i="4" s="1"/>
  <c r="H410" i="3"/>
  <c r="D413" i="4"/>
  <c r="L413" i="2"/>
  <c r="E413" i="4" s="1"/>
  <c r="H413" i="3"/>
  <c r="D426" i="4"/>
  <c r="P426" i="2"/>
  <c r="I426" i="4" s="1"/>
  <c r="H426" i="3"/>
  <c r="D429" i="4"/>
  <c r="L429" i="2"/>
  <c r="E429" i="4" s="1"/>
  <c r="H429" i="3"/>
  <c r="D442" i="4"/>
  <c r="P442" i="2"/>
  <c r="I442" i="4" s="1"/>
  <c r="H442" i="3"/>
  <c r="D445" i="4"/>
  <c r="L445" i="2"/>
  <c r="E445" i="4" s="1"/>
  <c r="H445" i="3"/>
  <c r="D458" i="4"/>
  <c r="P458" i="2"/>
  <c r="I458" i="4" s="1"/>
  <c r="H458" i="3"/>
  <c r="D461" i="4"/>
  <c r="L461" i="2"/>
  <c r="E461" i="4" s="1"/>
  <c r="H461" i="3"/>
  <c r="D474" i="4"/>
  <c r="P474" i="2"/>
  <c r="I474" i="4" s="1"/>
  <c r="H474" i="3"/>
  <c r="D477" i="4"/>
  <c r="L477" i="2"/>
  <c r="E477" i="4" s="1"/>
  <c r="H477" i="3"/>
  <c r="D490" i="4"/>
  <c r="P490" i="2"/>
  <c r="I490" i="4" s="1"/>
  <c r="H490" i="3"/>
  <c r="L229" i="2"/>
  <c r="E229" i="4" s="1"/>
  <c r="H229" i="3"/>
  <c r="Q235" i="2"/>
  <c r="J235" i="4" s="1"/>
  <c r="D251" i="4"/>
  <c r="Q251" i="2"/>
  <c r="J251" i="4" s="1"/>
  <c r="H251" i="3"/>
  <c r="D261" i="4"/>
  <c r="L261" i="2"/>
  <c r="E261" i="4" s="1"/>
  <c r="H261" i="3"/>
  <c r="D277" i="4"/>
  <c r="D293" i="4"/>
  <c r="H293" i="3"/>
  <c r="H309" i="3"/>
  <c r="K312" i="2"/>
  <c r="D315" i="4"/>
  <c r="Q315" i="2"/>
  <c r="J315" i="4" s="1"/>
  <c r="H315" i="3"/>
  <c r="H325" i="3"/>
  <c r="K328" i="2"/>
  <c r="K344" i="2"/>
  <c r="C353" i="4"/>
  <c r="G353" i="3"/>
  <c r="K360" i="2"/>
  <c r="C369" i="4"/>
  <c r="G369" i="3"/>
  <c r="K376" i="2"/>
  <c r="D379" i="4"/>
  <c r="Q379" i="2"/>
  <c r="J379" i="4" s="1"/>
  <c r="H379" i="3"/>
  <c r="C385" i="4"/>
  <c r="G385" i="3"/>
  <c r="D389" i="4"/>
  <c r="L389" i="2"/>
  <c r="E389" i="4" s="1"/>
  <c r="H389" i="3"/>
  <c r="M389" i="2"/>
  <c r="F389" i="4" s="1"/>
  <c r="C391" i="4"/>
  <c r="G391" i="3"/>
  <c r="L394" i="2"/>
  <c r="E394" i="4" s="1"/>
  <c r="M397" i="2"/>
  <c r="F397" i="4" s="1"/>
  <c r="D405" i="4"/>
  <c r="L405" i="2"/>
  <c r="E405" i="4" s="1"/>
  <c r="H405" i="3"/>
  <c r="M405" i="2"/>
  <c r="F405" i="4" s="1"/>
  <c r="C407" i="4"/>
  <c r="G407" i="3"/>
  <c r="L410" i="2"/>
  <c r="E410" i="4" s="1"/>
  <c r="M413" i="2"/>
  <c r="F413" i="4" s="1"/>
  <c r="D421" i="4"/>
  <c r="L421" i="2"/>
  <c r="E421" i="4" s="1"/>
  <c r="H421" i="3"/>
  <c r="M421" i="2"/>
  <c r="F421" i="4" s="1"/>
  <c r="C423" i="4"/>
  <c r="G423" i="3"/>
  <c r="L426" i="2"/>
  <c r="E426" i="4" s="1"/>
  <c r="M429" i="2"/>
  <c r="F429" i="4" s="1"/>
  <c r="D437" i="4"/>
  <c r="L437" i="2"/>
  <c r="E437" i="4" s="1"/>
  <c r="H437" i="3"/>
  <c r="M437" i="2"/>
  <c r="F437" i="4" s="1"/>
  <c r="C439" i="4"/>
  <c r="G439" i="3"/>
  <c r="L442" i="2"/>
  <c r="E442" i="4" s="1"/>
  <c r="M445" i="2"/>
  <c r="F445" i="4" s="1"/>
  <c r="D453" i="4"/>
  <c r="L453" i="2"/>
  <c r="E453" i="4" s="1"/>
  <c r="H453" i="3"/>
  <c r="M453" i="2"/>
  <c r="F453" i="4" s="1"/>
  <c r="C455" i="4"/>
  <c r="G455" i="3"/>
  <c r="L458" i="2"/>
  <c r="E458" i="4" s="1"/>
  <c r="M461" i="2"/>
  <c r="F461" i="4" s="1"/>
  <c r="D469" i="4"/>
  <c r="L469" i="2"/>
  <c r="E469" i="4" s="1"/>
  <c r="H469" i="3"/>
  <c r="M469" i="2"/>
  <c r="F469" i="4" s="1"/>
  <c r="C471" i="4"/>
  <c r="G471" i="3"/>
  <c r="L474" i="2"/>
  <c r="E474" i="4" s="1"/>
  <c r="M477" i="2"/>
  <c r="F477" i="4" s="1"/>
  <c r="D485" i="4"/>
  <c r="L485" i="2"/>
  <c r="E485" i="4" s="1"/>
  <c r="H485" i="3"/>
  <c r="M485" i="2"/>
  <c r="F485" i="4" s="1"/>
  <c r="C487" i="4"/>
  <c r="G487" i="3"/>
  <c r="L490" i="2"/>
  <c r="E490" i="4" s="1"/>
  <c r="C495" i="4"/>
  <c r="G495" i="3"/>
  <c r="C497" i="4"/>
  <c r="G497" i="3"/>
  <c r="C212" i="4"/>
  <c r="K212" i="2"/>
  <c r="C222" i="4"/>
  <c r="K222" i="2"/>
  <c r="K225" i="2"/>
  <c r="C228" i="4"/>
  <c r="K228" i="2"/>
  <c r="C238" i="4"/>
  <c r="K238" i="2"/>
  <c r="K241" i="2"/>
  <c r="C244" i="4"/>
  <c r="K244" i="2"/>
  <c r="M245" i="2"/>
  <c r="F245" i="4" s="1"/>
  <c r="L251" i="2"/>
  <c r="E251" i="4" s="1"/>
  <c r="C254" i="4"/>
  <c r="K254" i="2"/>
  <c r="K257" i="2"/>
  <c r="K260" i="2"/>
  <c r="C260" i="4"/>
  <c r="M261" i="2"/>
  <c r="F261" i="4" s="1"/>
  <c r="C270" i="4"/>
  <c r="K270" i="2"/>
  <c r="K273" i="2"/>
  <c r="C276" i="4"/>
  <c r="K276" i="2"/>
  <c r="M277" i="2"/>
  <c r="F277" i="4" s="1"/>
  <c r="C286" i="4"/>
  <c r="K286" i="2"/>
  <c r="K289" i="2"/>
  <c r="C292" i="4"/>
  <c r="K292" i="2"/>
  <c r="M293" i="2"/>
  <c r="F293" i="4" s="1"/>
  <c r="C302" i="4"/>
  <c r="K302" i="2"/>
  <c r="K305" i="2"/>
  <c r="C308" i="4"/>
  <c r="K308" i="2"/>
  <c r="L315" i="2"/>
  <c r="E315" i="4" s="1"/>
  <c r="C318" i="4"/>
  <c r="K318" i="2"/>
  <c r="K321" i="2"/>
  <c r="C324" i="4"/>
  <c r="K324" i="2"/>
  <c r="L331" i="2"/>
  <c r="E331" i="4" s="1"/>
  <c r="C334" i="4"/>
  <c r="K334" i="2"/>
  <c r="K337" i="2"/>
  <c r="C340" i="4"/>
  <c r="K340" i="2"/>
  <c r="G340" i="3"/>
  <c r="C346" i="4"/>
  <c r="G346" i="3"/>
  <c r="L347" i="2"/>
  <c r="E347" i="4" s="1"/>
  <c r="C350" i="4"/>
  <c r="K350" i="2"/>
  <c r="G350" i="3"/>
  <c r="K353" i="2"/>
  <c r="C356" i="4"/>
  <c r="K356" i="2"/>
  <c r="G356" i="3"/>
  <c r="C362" i="4"/>
  <c r="G362" i="3"/>
  <c r="C366" i="4"/>
  <c r="K366" i="2"/>
  <c r="G366" i="3"/>
  <c r="K369" i="2"/>
  <c r="C372" i="4"/>
  <c r="K372" i="2"/>
  <c r="G372" i="3"/>
  <c r="C378" i="4"/>
  <c r="G378" i="3"/>
  <c r="L379" i="2"/>
  <c r="E379" i="4" s="1"/>
  <c r="C382" i="4"/>
  <c r="G382" i="3"/>
  <c r="K382" i="2"/>
  <c r="K385" i="2"/>
  <c r="N389" i="2"/>
  <c r="G389" i="4" s="1"/>
  <c r="K391" i="2"/>
  <c r="C393" i="4"/>
  <c r="G393" i="3"/>
  <c r="M394" i="2"/>
  <c r="F394" i="4" s="1"/>
  <c r="C396" i="4"/>
  <c r="G396" i="3"/>
  <c r="K396" i="2"/>
  <c r="N397" i="2"/>
  <c r="G397" i="4" s="1"/>
  <c r="C399" i="4"/>
  <c r="G399" i="3"/>
  <c r="N405" i="2"/>
  <c r="G405" i="4" s="1"/>
  <c r="K407" i="2"/>
  <c r="C409" i="4"/>
  <c r="G409" i="3"/>
  <c r="M410" i="2"/>
  <c r="F410" i="4" s="1"/>
  <c r="C412" i="4"/>
  <c r="G412" i="3"/>
  <c r="K412" i="2"/>
  <c r="N413" i="2"/>
  <c r="G413" i="4" s="1"/>
  <c r="C415" i="4"/>
  <c r="G415" i="3"/>
  <c r="N421" i="2"/>
  <c r="G421" i="4" s="1"/>
  <c r="K423" i="2"/>
  <c r="C425" i="4"/>
  <c r="G425" i="3"/>
  <c r="M426" i="2"/>
  <c r="F426" i="4" s="1"/>
  <c r="C428" i="4"/>
  <c r="G428" i="3"/>
  <c r="K428" i="2"/>
  <c r="N429" i="2"/>
  <c r="G429" i="4" s="1"/>
  <c r="C431" i="4"/>
  <c r="G431" i="3"/>
  <c r="N437" i="2"/>
  <c r="G437" i="4" s="1"/>
  <c r="K439" i="2"/>
  <c r="C441" i="4"/>
  <c r="G441" i="3"/>
  <c r="M442" i="2"/>
  <c r="F442" i="4" s="1"/>
  <c r="C444" i="4"/>
  <c r="G444" i="3"/>
  <c r="K444" i="2"/>
  <c r="N445" i="2"/>
  <c r="G445" i="4" s="1"/>
  <c r="C447" i="4"/>
  <c r="G447" i="3"/>
  <c r="N453" i="2"/>
  <c r="G453" i="4" s="1"/>
  <c r="K455" i="2"/>
  <c r="C457" i="4"/>
  <c r="G457" i="3"/>
  <c r="M458" i="2"/>
  <c r="F458" i="4" s="1"/>
  <c r="C460" i="4"/>
  <c r="G460" i="3"/>
  <c r="K460" i="2"/>
  <c r="N461" i="2"/>
  <c r="G461" i="4" s="1"/>
  <c r="C463" i="4"/>
  <c r="G463" i="3"/>
  <c r="N469" i="2"/>
  <c r="G469" i="4" s="1"/>
  <c r="K471" i="2"/>
  <c r="C473" i="4"/>
  <c r="G473" i="3"/>
  <c r="M474" i="2"/>
  <c r="F474" i="4" s="1"/>
  <c r="C476" i="4"/>
  <c r="G476" i="3"/>
  <c r="K476" i="2"/>
  <c r="N477" i="2"/>
  <c r="G477" i="4" s="1"/>
  <c r="C479" i="4"/>
  <c r="G479" i="3"/>
  <c r="N485" i="2"/>
  <c r="G485" i="4" s="1"/>
  <c r="K487" i="2"/>
  <c r="C489" i="4"/>
  <c r="G489" i="3"/>
  <c r="M490" i="2"/>
  <c r="F490" i="4" s="1"/>
  <c r="C492" i="4"/>
  <c r="G492" i="3"/>
  <c r="K492" i="2"/>
  <c r="K495" i="2"/>
  <c r="K497" i="2"/>
  <c r="G218" i="3"/>
  <c r="G234" i="3"/>
  <c r="G250" i="3"/>
  <c r="G266" i="3"/>
  <c r="G282" i="3"/>
  <c r="G298" i="3"/>
  <c r="G314" i="3"/>
  <c r="G330" i="3"/>
  <c r="C388" i="4"/>
  <c r="G388" i="3"/>
  <c r="K388" i="2"/>
  <c r="C394" i="4"/>
  <c r="G394" i="3"/>
  <c r="C398" i="4"/>
  <c r="G398" i="3"/>
  <c r="K398" i="2"/>
  <c r="C404" i="4"/>
  <c r="G404" i="3"/>
  <c r="K404" i="2"/>
  <c r="C410" i="4"/>
  <c r="G410" i="3"/>
  <c r="C414" i="4"/>
  <c r="G414" i="3"/>
  <c r="K414" i="2"/>
  <c r="C420" i="4"/>
  <c r="G420" i="3"/>
  <c r="K420" i="2"/>
  <c r="C426" i="4"/>
  <c r="G426" i="3"/>
  <c r="C430" i="4"/>
  <c r="G430" i="3"/>
  <c r="K430" i="2"/>
  <c r="C436" i="4"/>
  <c r="G436" i="3"/>
  <c r="K436" i="2"/>
  <c r="C442" i="4"/>
  <c r="G442" i="3"/>
  <c r="C446" i="4"/>
  <c r="G446" i="3"/>
  <c r="K446" i="2"/>
  <c r="C452" i="4"/>
  <c r="G452" i="3"/>
  <c r="K452" i="2"/>
  <c r="C458" i="4"/>
  <c r="G458" i="3"/>
  <c r="C462" i="4"/>
  <c r="G462" i="3"/>
  <c r="K462" i="2"/>
  <c r="C468" i="4"/>
  <c r="G468" i="3"/>
  <c r="K468" i="2"/>
  <c r="C474" i="4"/>
  <c r="G474" i="3"/>
  <c r="C478" i="4"/>
  <c r="G478" i="3"/>
  <c r="K478" i="2"/>
  <c r="C484" i="4"/>
  <c r="G484" i="3"/>
  <c r="K484" i="2"/>
  <c r="C490" i="4"/>
  <c r="G490" i="3"/>
  <c r="C494" i="4"/>
  <c r="G494" i="3"/>
  <c r="K494" i="2"/>
  <c r="C496" i="4"/>
  <c r="G496" i="3"/>
  <c r="C498" i="4"/>
  <c r="G498" i="3"/>
  <c r="C381" i="4"/>
  <c r="G381" i="3"/>
  <c r="C389" i="4"/>
  <c r="G389" i="3"/>
  <c r="C397" i="4"/>
  <c r="G397" i="3"/>
  <c r="C405" i="4"/>
  <c r="G405" i="3"/>
  <c r="C413" i="4"/>
  <c r="G413" i="3"/>
  <c r="C421" i="4"/>
  <c r="G421" i="3"/>
  <c r="C429" i="4"/>
  <c r="G429" i="3"/>
  <c r="C437" i="4"/>
  <c r="G437" i="3"/>
  <c r="C445" i="4"/>
  <c r="G445" i="3"/>
  <c r="C453" i="4"/>
  <c r="G453" i="3"/>
  <c r="C461" i="4"/>
  <c r="G461" i="3"/>
  <c r="C469" i="4"/>
  <c r="G469" i="3"/>
  <c r="C477" i="4"/>
  <c r="G477" i="3"/>
  <c r="C485" i="4"/>
  <c r="G485" i="3"/>
  <c r="C493" i="4"/>
  <c r="G493" i="3"/>
  <c r="Q499" i="2"/>
  <c r="J499" i="4" s="1"/>
  <c r="C500" i="4"/>
  <c r="G500" i="3"/>
  <c r="H499" i="3"/>
  <c r="C379" i="4"/>
  <c r="G379" i="3"/>
  <c r="C387" i="4"/>
  <c r="G387" i="3"/>
  <c r="C395" i="4"/>
  <c r="G395" i="3"/>
  <c r="C403" i="4"/>
  <c r="G403" i="3"/>
  <c r="C411" i="4"/>
  <c r="G411" i="3"/>
  <c r="C419" i="4"/>
  <c r="G419" i="3"/>
  <c r="C427" i="4"/>
  <c r="G427" i="3"/>
  <c r="C435" i="4"/>
  <c r="G435" i="3"/>
  <c r="C443" i="4"/>
  <c r="G443" i="3"/>
  <c r="C451" i="4"/>
  <c r="G451" i="3"/>
  <c r="C459" i="4"/>
  <c r="G459" i="3"/>
  <c r="C467" i="4"/>
  <c r="G467" i="3"/>
  <c r="C475" i="4"/>
  <c r="G475" i="3"/>
  <c r="C483" i="4"/>
  <c r="G483" i="3"/>
  <c r="C491" i="4"/>
  <c r="G491" i="3"/>
  <c r="L493" i="2"/>
  <c r="E493" i="4" s="1"/>
  <c r="C499" i="4"/>
  <c r="G499" i="3"/>
  <c r="K500" i="2"/>
  <c r="H493" i="3"/>
  <c r="D325" i="4" l="1"/>
  <c r="L277" i="2"/>
  <c r="E277" i="4" s="1"/>
  <c r="P371" i="2"/>
  <c r="I371" i="4" s="1"/>
  <c r="D371" i="4"/>
  <c r="N371" i="2"/>
  <c r="G371" i="4" s="1"/>
  <c r="M309" i="2"/>
  <c r="F309" i="4" s="1"/>
  <c r="Q314" i="2"/>
  <c r="J314" i="4" s="1"/>
  <c r="P339" i="2"/>
  <c r="I339" i="4" s="1"/>
  <c r="L325" i="2"/>
  <c r="E325" i="4" s="1"/>
  <c r="L293" i="2"/>
  <c r="E293" i="4" s="1"/>
  <c r="H339" i="3"/>
  <c r="H371" i="3"/>
  <c r="H277" i="3"/>
  <c r="L309" i="2"/>
  <c r="E309" i="4" s="1"/>
  <c r="L245" i="2"/>
  <c r="E245" i="4" s="1"/>
  <c r="Q371" i="2"/>
  <c r="J371" i="4" s="1"/>
  <c r="H235" i="3"/>
  <c r="L339" i="2"/>
  <c r="E339" i="4" s="1"/>
  <c r="D339" i="4"/>
  <c r="L323" i="2"/>
  <c r="E323" i="4" s="1"/>
  <c r="Q347" i="2"/>
  <c r="J347" i="4" s="1"/>
  <c r="N323" i="2"/>
  <c r="G323" i="4" s="1"/>
  <c r="P323" i="2"/>
  <c r="I323" i="4" s="1"/>
  <c r="Q339" i="2"/>
  <c r="J339" i="4" s="1"/>
  <c r="Q331" i="2"/>
  <c r="J331" i="4" s="1"/>
  <c r="D331" i="4"/>
  <c r="H363" i="3"/>
  <c r="D245" i="4"/>
  <c r="H347" i="3"/>
  <c r="N314" i="2"/>
  <c r="G314" i="4" s="1"/>
  <c r="H285" i="3"/>
  <c r="H267" i="3"/>
  <c r="L341" i="2"/>
  <c r="E341" i="4" s="1"/>
  <c r="L267" i="2"/>
  <c r="E267" i="4" s="1"/>
  <c r="D341" i="4"/>
  <c r="H314" i="3"/>
  <c r="L195" i="2"/>
  <c r="E195" i="4" s="1"/>
  <c r="Q330" i="2"/>
  <c r="J330" i="4" s="1"/>
  <c r="P330" i="2"/>
  <c r="I330" i="4" s="1"/>
  <c r="Q267" i="2"/>
  <c r="J267" i="4" s="1"/>
  <c r="M341" i="2"/>
  <c r="F341" i="4" s="1"/>
  <c r="D330" i="4"/>
  <c r="M373" i="2"/>
  <c r="F373" i="4" s="1"/>
  <c r="H373" i="3"/>
  <c r="L373" i="2"/>
  <c r="E373" i="4" s="1"/>
  <c r="Q285" i="2"/>
  <c r="J285" i="4" s="1"/>
  <c r="M330" i="2"/>
  <c r="F330" i="4" s="1"/>
  <c r="L365" i="2"/>
  <c r="E365" i="4" s="1"/>
  <c r="D365" i="4"/>
  <c r="H218" i="3"/>
  <c r="P365" i="2"/>
  <c r="I365" i="4" s="1"/>
  <c r="P218" i="2"/>
  <c r="I218" i="4" s="1"/>
  <c r="Q365" i="2"/>
  <c r="J365" i="4" s="1"/>
  <c r="L333" i="2"/>
  <c r="E333" i="4" s="1"/>
  <c r="M333" i="2"/>
  <c r="F333" i="4" s="1"/>
  <c r="Q333" i="2"/>
  <c r="J333" i="4" s="1"/>
  <c r="H283" i="3"/>
  <c r="Q283" i="2"/>
  <c r="J283" i="4" s="1"/>
  <c r="L283" i="2"/>
  <c r="E283" i="4" s="1"/>
  <c r="D283" i="4"/>
  <c r="M357" i="2"/>
  <c r="F357" i="4" s="1"/>
  <c r="L357" i="2"/>
  <c r="E357" i="4" s="1"/>
  <c r="P253" i="2"/>
  <c r="I253" i="4" s="1"/>
  <c r="D285" i="4"/>
  <c r="M203" i="2"/>
  <c r="F203" i="4" s="1"/>
  <c r="Q317" i="2"/>
  <c r="J317" i="4" s="1"/>
  <c r="D307" i="4"/>
  <c r="P307" i="2"/>
  <c r="I307" i="4" s="1"/>
  <c r="L298" i="2"/>
  <c r="E298" i="4" s="1"/>
  <c r="H307" i="3"/>
  <c r="Q307" i="2"/>
  <c r="J307" i="4" s="1"/>
  <c r="N307" i="2"/>
  <c r="G307" i="4" s="1"/>
  <c r="L355" i="2"/>
  <c r="E355" i="4" s="1"/>
  <c r="N355" i="2"/>
  <c r="G355" i="4" s="1"/>
  <c r="M298" i="2"/>
  <c r="F298" i="4" s="1"/>
  <c r="L291" i="2"/>
  <c r="E291" i="4" s="1"/>
  <c r="M291" i="2"/>
  <c r="F291" i="4" s="1"/>
  <c r="Q269" i="2"/>
  <c r="J269" i="4" s="1"/>
  <c r="H355" i="3"/>
  <c r="N298" i="2"/>
  <c r="G298" i="4" s="1"/>
  <c r="Q355" i="2"/>
  <c r="J355" i="4" s="1"/>
  <c r="Q298" i="2"/>
  <c r="J298" i="4" s="1"/>
  <c r="N291" i="2"/>
  <c r="G291" i="4" s="1"/>
  <c r="L269" i="2"/>
  <c r="E269" i="4" s="1"/>
  <c r="Q266" i="2"/>
  <c r="J266" i="4" s="1"/>
  <c r="H187" i="3"/>
  <c r="D355" i="4"/>
  <c r="P314" i="2"/>
  <c r="I314" i="4" s="1"/>
  <c r="H298" i="3"/>
  <c r="P291" i="2"/>
  <c r="I291" i="4" s="1"/>
  <c r="P234" i="2"/>
  <c r="I234" i="4" s="1"/>
  <c r="H266" i="3"/>
  <c r="P355" i="2"/>
  <c r="I355" i="4" s="1"/>
  <c r="P298" i="2"/>
  <c r="I298" i="4" s="1"/>
  <c r="Q291" i="2"/>
  <c r="J291" i="4" s="1"/>
  <c r="Q219" i="2"/>
  <c r="J219" i="4" s="1"/>
  <c r="D266" i="4"/>
  <c r="D291" i="4"/>
  <c r="D219" i="4"/>
  <c r="Q237" i="2"/>
  <c r="J237" i="4" s="1"/>
  <c r="Q253" i="2"/>
  <c r="J253" i="4" s="1"/>
  <c r="M307" i="2"/>
  <c r="F307" i="4" s="1"/>
  <c r="H333" i="3"/>
  <c r="N333" i="2"/>
  <c r="G333" i="4" s="1"/>
  <c r="D237" i="4"/>
  <c r="H253" i="3"/>
  <c r="D234" i="4"/>
  <c r="M229" i="2"/>
  <c r="F229" i="4" s="1"/>
  <c r="D363" i="4"/>
  <c r="D347" i="4"/>
  <c r="N339" i="2"/>
  <c r="G339" i="4" s="1"/>
  <c r="M314" i="2"/>
  <c r="F314" i="4" s="1"/>
  <c r="D218" i="4"/>
  <c r="D349" i="4"/>
  <c r="L219" i="2"/>
  <c r="E219" i="4" s="1"/>
  <c r="M365" i="2"/>
  <c r="F365" i="4" s="1"/>
  <c r="M266" i="2"/>
  <c r="F266" i="4" s="1"/>
  <c r="N301" i="2"/>
  <c r="G301" i="4" s="1"/>
  <c r="L363" i="2"/>
  <c r="E363" i="4" s="1"/>
  <c r="M317" i="2"/>
  <c r="F317" i="4" s="1"/>
  <c r="P301" i="2"/>
  <c r="I301" i="4" s="1"/>
  <c r="P317" i="2"/>
  <c r="I317" i="4" s="1"/>
  <c r="H301" i="3"/>
  <c r="L299" i="2"/>
  <c r="E299" i="4" s="1"/>
  <c r="Q299" i="2"/>
  <c r="J299" i="4" s="1"/>
  <c r="L317" i="2"/>
  <c r="E317" i="4" s="1"/>
  <c r="H299" i="3"/>
  <c r="M234" i="2"/>
  <c r="F234" i="4" s="1"/>
  <c r="L301" i="2"/>
  <c r="E301" i="4" s="1"/>
  <c r="N234" i="2"/>
  <c r="G234" i="4" s="1"/>
  <c r="N203" i="2"/>
  <c r="G203" i="4" s="1"/>
  <c r="D301" i="4"/>
  <c r="L250" i="2"/>
  <c r="E250" i="4" s="1"/>
  <c r="H331" i="3"/>
  <c r="D299" i="4"/>
  <c r="D235" i="4"/>
  <c r="H195" i="3"/>
  <c r="D317" i="4"/>
  <c r="D314" i="4"/>
  <c r="P333" i="2"/>
  <c r="I333" i="4" s="1"/>
  <c r="H330" i="3"/>
  <c r="M285" i="2"/>
  <c r="F285" i="4" s="1"/>
  <c r="H234" i="3"/>
  <c r="D203" i="4"/>
  <c r="M253" i="2"/>
  <c r="F253" i="4" s="1"/>
  <c r="L253" i="2"/>
  <c r="E253" i="4" s="1"/>
  <c r="M250" i="2"/>
  <c r="F250" i="4" s="1"/>
  <c r="P250" i="2"/>
  <c r="I250" i="4" s="1"/>
  <c r="M275" i="2"/>
  <c r="F275" i="4" s="1"/>
  <c r="Q221" i="2"/>
  <c r="J221" i="4" s="1"/>
  <c r="L221" i="2"/>
  <c r="E221" i="4" s="1"/>
  <c r="Q349" i="2"/>
  <c r="J349" i="4" s="1"/>
  <c r="L237" i="2"/>
  <c r="E237" i="4" s="1"/>
  <c r="L275" i="2"/>
  <c r="E275" i="4" s="1"/>
  <c r="H349" i="3"/>
  <c r="H203" i="3"/>
  <c r="N218" i="2"/>
  <c r="G218" i="4" s="1"/>
  <c r="N330" i="2"/>
  <c r="G330" i="4" s="1"/>
  <c r="L349" i="2"/>
  <c r="E349" i="4" s="1"/>
  <c r="N365" i="2"/>
  <c r="G365" i="4" s="1"/>
  <c r="Q234" i="2"/>
  <c r="J234" i="4" s="1"/>
  <c r="P285" i="2"/>
  <c r="I285" i="4" s="1"/>
  <c r="N266" i="2"/>
  <c r="G266" i="4" s="1"/>
  <c r="P237" i="2"/>
  <c r="I237" i="4" s="1"/>
  <c r="H221" i="3"/>
  <c r="H317" i="3"/>
  <c r="M349" i="2"/>
  <c r="F349" i="4" s="1"/>
  <c r="D269" i="4"/>
  <c r="H250" i="3"/>
  <c r="P269" i="2"/>
  <c r="I269" i="4" s="1"/>
  <c r="H237" i="3"/>
  <c r="N221" i="2"/>
  <c r="G221" i="4" s="1"/>
  <c r="L243" i="2"/>
  <c r="E243" i="4" s="1"/>
  <c r="M221" i="2"/>
  <c r="F221" i="4" s="1"/>
  <c r="P275" i="2"/>
  <c r="I275" i="4" s="1"/>
  <c r="L285" i="2"/>
  <c r="E285" i="4" s="1"/>
  <c r="D275" i="4"/>
  <c r="D253" i="4"/>
  <c r="H243" i="3"/>
  <c r="Q282" i="2"/>
  <c r="J282" i="4" s="1"/>
  <c r="N250" i="2"/>
  <c r="G250" i="4" s="1"/>
  <c r="H275" i="3"/>
  <c r="H282" i="3"/>
  <c r="M301" i="2"/>
  <c r="F301" i="4" s="1"/>
  <c r="Q250" i="2"/>
  <c r="J250" i="4" s="1"/>
  <c r="Q275" i="2"/>
  <c r="J275" i="4" s="1"/>
  <c r="N237" i="2"/>
  <c r="G237" i="4" s="1"/>
  <c r="Q187" i="2"/>
  <c r="J187" i="4" s="1"/>
  <c r="H259" i="3"/>
  <c r="N349" i="2"/>
  <c r="G349" i="4" s="1"/>
  <c r="P221" i="2"/>
  <c r="I221" i="4" s="1"/>
  <c r="D187" i="4"/>
  <c r="N299" i="2"/>
  <c r="G299" i="4" s="1"/>
  <c r="M243" i="2"/>
  <c r="F243" i="4" s="1"/>
  <c r="P299" i="2"/>
  <c r="I299" i="4" s="1"/>
  <c r="M187" i="2"/>
  <c r="F187" i="4" s="1"/>
  <c r="N259" i="2"/>
  <c r="G259" i="4" s="1"/>
  <c r="I2" i="4"/>
  <c r="P187" i="2"/>
  <c r="I187" i="4" s="1"/>
  <c r="L282" i="2"/>
  <c r="E282" i="4" s="1"/>
  <c r="M282" i="2"/>
  <c r="F282" i="4" s="1"/>
  <c r="N282" i="2"/>
  <c r="G282" i="4" s="1"/>
  <c r="D282" i="4"/>
  <c r="M251" i="2"/>
  <c r="F251" i="4" s="1"/>
  <c r="N187" i="2"/>
  <c r="G187" i="4" s="1"/>
  <c r="J155" i="4"/>
  <c r="D155" i="4"/>
  <c r="D243" i="4"/>
  <c r="H155" i="3"/>
  <c r="N293" i="2"/>
  <c r="G293" i="4" s="1"/>
  <c r="P266" i="2"/>
  <c r="I266" i="4" s="1"/>
  <c r="L213" i="2"/>
  <c r="E213" i="4" s="1"/>
  <c r="I126" i="4"/>
  <c r="N243" i="2"/>
  <c r="G243" i="4" s="1"/>
  <c r="I155" i="4"/>
  <c r="Q213" i="2"/>
  <c r="J213" i="4" s="1"/>
  <c r="P259" i="2"/>
  <c r="I259" i="4" s="1"/>
  <c r="L259" i="2"/>
  <c r="E259" i="4" s="1"/>
  <c r="Q259" i="2"/>
  <c r="J259" i="4" s="1"/>
  <c r="H142" i="3"/>
  <c r="P213" i="2"/>
  <c r="I213" i="4" s="1"/>
  <c r="Q243" i="2"/>
  <c r="J243" i="4" s="1"/>
  <c r="E118" i="4"/>
  <c r="N213" i="2"/>
  <c r="G213" i="4" s="1"/>
  <c r="M259" i="2"/>
  <c r="F259" i="4" s="1"/>
  <c r="M213" i="2"/>
  <c r="F213" i="4" s="1"/>
  <c r="E171" i="4"/>
  <c r="G102" i="4"/>
  <c r="H213" i="3"/>
  <c r="M347" i="2"/>
  <c r="F347" i="4" s="1"/>
  <c r="G118" i="4"/>
  <c r="H118" i="3"/>
  <c r="Q293" i="2"/>
  <c r="J293" i="4" s="1"/>
  <c r="P283" i="2"/>
  <c r="I283" i="4" s="1"/>
  <c r="J94" i="4"/>
  <c r="N283" i="2"/>
  <c r="G283" i="4" s="1"/>
  <c r="N347" i="2"/>
  <c r="G347" i="4" s="1"/>
  <c r="I142" i="4"/>
  <c r="N277" i="2"/>
  <c r="G277" i="4" s="1"/>
  <c r="I94" i="4"/>
  <c r="P331" i="2"/>
  <c r="I331" i="4" s="1"/>
  <c r="N331" i="2"/>
  <c r="G331" i="4" s="1"/>
  <c r="N251" i="2"/>
  <c r="G251" i="4" s="1"/>
  <c r="J70" i="4"/>
  <c r="M195" i="2"/>
  <c r="F195" i="4" s="1"/>
  <c r="P277" i="2"/>
  <c r="I277" i="4" s="1"/>
  <c r="N195" i="2"/>
  <c r="G195" i="4" s="1"/>
  <c r="Q195" i="2"/>
  <c r="J195" i="4" s="1"/>
  <c r="F94" i="4"/>
  <c r="E94" i="4"/>
  <c r="F179" i="4"/>
  <c r="E179" i="4"/>
  <c r="I179" i="4"/>
  <c r="G179" i="4"/>
  <c r="N363" i="2"/>
  <c r="G363" i="4" s="1"/>
  <c r="P363" i="2"/>
  <c r="I363" i="4" s="1"/>
  <c r="M363" i="2"/>
  <c r="F363" i="4" s="1"/>
  <c r="P309" i="2"/>
  <c r="I309" i="4" s="1"/>
  <c r="N309" i="2"/>
  <c r="G309" i="4" s="1"/>
  <c r="Q309" i="2"/>
  <c r="J309" i="4" s="1"/>
  <c r="P245" i="2"/>
  <c r="I245" i="4" s="1"/>
  <c r="Q245" i="2"/>
  <c r="J245" i="4" s="1"/>
  <c r="N245" i="2"/>
  <c r="G245" i="4" s="1"/>
  <c r="M267" i="2"/>
  <c r="F267" i="4" s="1"/>
  <c r="N267" i="2"/>
  <c r="G267" i="4" s="1"/>
  <c r="P267" i="2"/>
  <c r="I267" i="4" s="1"/>
  <c r="P229" i="2"/>
  <c r="I229" i="4" s="1"/>
  <c r="Q229" i="2"/>
  <c r="J229" i="4" s="1"/>
  <c r="N229" i="2"/>
  <c r="G229" i="4" s="1"/>
  <c r="I182" i="4"/>
  <c r="J182" i="4"/>
  <c r="E182" i="4"/>
  <c r="Q373" i="2"/>
  <c r="J373" i="4" s="1"/>
  <c r="N373" i="2"/>
  <c r="G373" i="4" s="1"/>
  <c r="P373" i="2"/>
  <c r="I373" i="4" s="1"/>
  <c r="J118" i="4"/>
  <c r="I118" i="4"/>
  <c r="F118" i="4"/>
  <c r="L203" i="2"/>
  <c r="E203" i="4" s="1"/>
  <c r="Q203" i="2"/>
  <c r="J203" i="4" s="1"/>
  <c r="J86" i="4"/>
  <c r="E86" i="4"/>
  <c r="I86" i="4"/>
  <c r="G86" i="4"/>
  <c r="F86" i="4"/>
  <c r="P219" i="2"/>
  <c r="I219" i="4" s="1"/>
  <c r="N219" i="2"/>
  <c r="G219" i="4" s="1"/>
  <c r="M219" i="2"/>
  <c r="F219" i="4" s="1"/>
  <c r="Q341" i="2"/>
  <c r="J341" i="4" s="1"/>
  <c r="P341" i="2"/>
  <c r="I341" i="4" s="1"/>
  <c r="N341" i="2"/>
  <c r="G341" i="4" s="1"/>
  <c r="Q325" i="2"/>
  <c r="J325" i="4" s="1"/>
  <c r="P325" i="2"/>
  <c r="I325" i="4" s="1"/>
  <c r="N325" i="2"/>
  <c r="G325" i="4" s="1"/>
  <c r="D6" i="5"/>
  <c r="P235" i="2"/>
  <c r="I235" i="4" s="1"/>
  <c r="N235" i="2"/>
  <c r="G235" i="4" s="1"/>
  <c r="M235" i="2"/>
  <c r="F235" i="4" s="1"/>
  <c r="J163" i="4"/>
  <c r="G163" i="4"/>
  <c r="F163" i="4"/>
  <c r="I163" i="4"/>
  <c r="J134" i="4"/>
  <c r="I134" i="4"/>
  <c r="F134" i="4"/>
  <c r="H357" i="3"/>
  <c r="Q357" i="2"/>
  <c r="J357" i="4" s="1"/>
  <c r="N357" i="2"/>
  <c r="G357" i="4" s="1"/>
  <c r="P357" i="2"/>
  <c r="I357" i="4" s="1"/>
  <c r="M269" i="2"/>
  <c r="F269" i="4" s="1"/>
  <c r="N269" i="2"/>
  <c r="G269" i="4" s="1"/>
  <c r="J54" i="4"/>
  <c r="E54" i="4"/>
  <c r="G54" i="4"/>
  <c r="F54" i="4"/>
  <c r="I54" i="4"/>
  <c r="F147" i="4"/>
  <c r="E147" i="4"/>
  <c r="G147" i="4"/>
  <c r="M218" i="2"/>
  <c r="F218" i="4" s="1"/>
  <c r="L218" i="2"/>
  <c r="E218" i="4" s="1"/>
  <c r="J62" i="4"/>
  <c r="G62" i="4"/>
  <c r="F62" i="4"/>
  <c r="E62" i="4"/>
  <c r="I62" i="4"/>
  <c r="D375" i="4"/>
  <c r="N375" i="2"/>
  <c r="G375" i="4" s="1"/>
  <c r="L375" i="2"/>
  <c r="E375" i="4" s="1"/>
  <c r="H375" i="3"/>
  <c r="P375" i="2"/>
  <c r="I375" i="4" s="1"/>
  <c r="Q375" i="2"/>
  <c r="J375" i="4" s="1"/>
  <c r="M375" i="2"/>
  <c r="F375" i="4" s="1"/>
  <c r="D329" i="4"/>
  <c r="Q329" i="2"/>
  <c r="J329" i="4" s="1"/>
  <c r="N329" i="2"/>
  <c r="G329" i="4" s="1"/>
  <c r="H329" i="3"/>
  <c r="P329" i="2"/>
  <c r="I329" i="4" s="1"/>
  <c r="M329" i="2"/>
  <c r="F329" i="4" s="1"/>
  <c r="L329" i="2"/>
  <c r="E329" i="4" s="1"/>
  <c r="D304" i="4"/>
  <c r="P304" i="2"/>
  <c r="I304" i="4" s="1"/>
  <c r="M304" i="2"/>
  <c r="F304" i="4" s="1"/>
  <c r="H304" i="3"/>
  <c r="N304" i="2"/>
  <c r="G304" i="4" s="1"/>
  <c r="L304" i="2"/>
  <c r="E304" i="4" s="1"/>
  <c r="Q304" i="2"/>
  <c r="J304" i="4" s="1"/>
  <c r="D201" i="4"/>
  <c r="Q201" i="2"/>
  <c r="J201" i="4" s="1"/>
  <c r="H201" i="3"/>
  <c r="P201" i="2"/>
  <c r="I201" i="4" s="1"/>
  <c r="N201" i="2"/>
  <c r="G201" i="4" s="1"/>
  <c r="L201" i="2"/>
  <c r="E201" i="4" s="1"/>
  <c r="M201" i="2"/>
  <c r="F201" i="4" s="1"/>
  <c r="D406" i="4"/>
  <c r="H406" i="3"/>
  <c r="M406" i="2"/>
  <c r="F406" i="4" s="1"/>
  <c r="Q406" i="2"/>
  <c r="J406" i="4" s="1"/>
  <c r="P406" i="2"/>
  <c r="I406" i="4" s="1"/>
  <c r="L406" i="2"/>
  <c r="E406" i="4" s="1"/>
  <c r="N406" i="2"/>
  <c r="G406" i="4" s="1"/>
  <c r="D438" i="4"/>
  <c r="H438" i="3"/>
  <c r="M438" i="2"/>
  <c r="F438" i="4" s="1"/>
  <c r="Q438" i="2"/>
  <c r="J438" i="4" s="1"/>
  <c r="P438" i="2"/>
  <c r="I438" i="4" s="1"/>
  <c r="N438" i="2"/>
  <c r="G438" i="4" s="1"/>
  <c r="L438" i="2"/>
  <c r="E438" i="4" s="1"/>
  <c r="D364" i="4"/>
  <c r="P364" i="2"/>
  <c r="I364" i="4" s="1"/>
  <c r="H364" i="3"/>
  <c r="N364" i="2"/>
  <c r="G364" i="4" s="1"/>
  <c r="M364" i="2"/>
  <c r="F364" i="4" s="1"/>
  <c r="Q364" i="2"/>
  <c r="J364" i="4" s="1"/>
  <c r="L364" i="2"/>
  <c r="E364" i="4" s="1"/>
  <c r="D455" i="4"/>
  <c r="N455" i="2"/>
  <c r="G455" i="4" s="1"/>
  <c r="H455" i="3"/>
  <c r="L455" i="2"/>
  <c r="E455" i="4" s="1"/>
  <c r="Q455" i="2"/>
  <c r="J455" i="4" s="1"/>
  <c r="P455" i="2"/>
  <c r="I455" i="4" s="1"/>
  <c r="M455" i="2"/>
  <c r="F455" i="4" s="1"/>
  <c r="D428" i="4"/>
  <c r="H428" i="3"/>
  <c r="P428" i="2"/>
  <c r="I428" i="4" s="1"/>
  <c r="N428" i="2"/>
  <c r="G428" i="4" s="1"/>
  <c r="L428" i="2"/>
  <c r="E428" i="4" s="1"/>
  <c r="Q428" i="2"/>
  <c r="J428" i="4" s="1"/>
  <c r="M428" i="2"/>
  <c r="F428" i="4" s="1"/>
  <c r="D334" i="4"/>
  <c r="M334" i="2"/>
  <c r="F334" i="4" s="1"/>
  <c r="H334" i="3"/>
  <c r="Q334" i="2"/>
  <c r="J334" i="4" s="1"/>
  <c r="P334" i="2"/>
  <c r="I334" i="4" s="1"/>
  <c r="N334" i="2"/>
  <c r="G334" i="4" s="1"/>
  <c r="L334" i="2"/>
  <c r="E334" i="4" s="1"/>
  <c r="D225" i="4"/>
  <c r="Q225" i="2"/>
  <c r="J225" i="4" s="1"/>
  <c r="N225" i="2"/>
  <c r="G225" i="4" s="1"/>
  <c r="H225" i="3"/>
  <c r="P225" i="2"/>
  <c r="I225" i="4" s="1"/>
  <c r="M225" i="2"/>
  <c r="F225" i="4" s="1"/>
  <c r="L225" i="2"/>
  <c r="E225" i="4" s="1"/>
  <c r="D327" i="4"/>
  <c r="N327" i="2"/>
  <c r="G327" i="4" s="1"/>
  <c r="L327" i="2"/>
  <c r="E327" i="4" s="1"/>
  <c r="H327" i="3"/>
  <c r="P327" i="2"/>
  <c r="I327" i="4" s="1"/>
  <c r="Q327" i="2"/>
  <c r="J327" i="4" s="1"/>
  <c r="M327" i="2"/>
  <c r="F327" i="4" s="1"/>
  <c r="D297" i="4"/>
  <c r="Q297" i="2"/>
  <c r="J297" i="4" s="1"/>
  <c r="N297" i="2"/>
  <c r="G297" i="4" s="1"/>
  <c r="H297" i="3"/>
  <c r="P297" i="2"/>
  <c r="I297" i="4" s="1"/>
  <c r="M297" i="2"/>
  <c r="F297" i="4" s="1"/>
  <c r="L297" i="2"/>
  <c r="E297" i="4" s="1"/>
  <c r="D247" i="4"/>
  <c r="N247" i="2"/>
  <c r="G247" i="4" s="1"/>
  <c r="L247" i="2"/>
  <c r="E247" i="4" s="1"/>
  <c r="H247" i="3"/>
  <c r="P247" i="2"/>
  <c r="I247" i="4" s="1"/>
  <c r="M247" i="2"/>
  <c r="F247" i="4" s="1"/>
  <c r="Q247" i="2"/>
  <c r="J247" i="4" s="1"/>
  <c r="D224" i="4"/>
  <c r="P224" i="2"/>
  <c r="I224" i="4" s="1"/>
  <c r="M224" i="2"/>
  <c r="F224" i="4" s="1"/>
  <c r="H224" i="3"/>
  <c r="Q224" i="2"/>
  <c r="J224" i="4" s="1"/>
  <c r="N224" i="2"/>
  <c r="G224" i="4" s="1"/>
  <c r="L224" i="2"/>
  <c r="E224" i="4" s="1"/>
  <c r="D198" i="4"/>
  <c r="M198" i="2"/>
  <c r="F198" i="4" s="1"/>
  <c r="H198" i="3"/>
  <c r="N198" i="2"/>
  <c r="G198" i="4" s="1"/>
  <c r="Q198" i="2"/>
  <c r="J198" i="4" s="1"/>
  <c r="P198" i="2"/>
  <c r="I198" i="4" s="1"/>
  <c r="L198" i="2"/>
  <c r="E198" i="4" s="1"/>
  <c r="D153" i="4"/>
  <c r="J153" i="4"/>
  <c r="H153" i="3"/>
  <c r="F153" i="4"/>
  <c r="I153" i="4"/>
  <c r="G153" i="4"/>
  <c r="E153" i="4"/>
  <c r="D208" i="4"/>
  <c r="P208" i="2"/>
  <c r="I208" i="4" s="1"/>
  <c r="H208" i="3"/>
  <c r="L208" i="2"/>
  <c r="E208" i="4" s="1"/>
  <c r="Q208" i="2"/>
  <c r="J208" i="4" s="1"/>
  <c r="N208" i="2"/>
  <c r="G208" i="4" s="1"/>
  <c r="M208" i="2"/>
  <c r="F208" i="4" s="1"/>
  <c r="D268" i="4"/>
  <c r="H268" i="3"/>
  <c r="P268" i="2"/>
  <c r="I268" i="4" s="1"/>
  <c r="N268" i="2"/>
  <c r="G268" i="4" s="1"/>
  <c r="M268" i="2"/>
  <c r="F268" i="4" s="1"/>
  <c r="L268" i="2"/>
  <c r="E268" i="4" s="1"/>
  <c r="Q268" i="2"/>
  <c r="J268" i="4" s="1"/>
  <c r="D380" i="4"/>
  <c r="H380" i="3"/>
  <c r="P380" i="2"/>
  <c r="I380" i="4" s="1"/>
  <c r="N380" i="2"/>
  <c r="G380" i="4" s="1"/>
  <c r="M380" i="2"/>
  <c r="F380" i="4" s="1"/>
  <c r="Q380" i="2"/>
  <c r="J380" i="4" s="1"/>
  <c r="L380" i="2"/>
  <c r="E380" i="4" s="1"/>
  <c r="D342" i="4"/>
  <c r="M342" i="2"/>
  <c r="F342" i="4" s="1"/>
  <c r="H342" i="3"/>
  <c r="Q342" i="2"/>
  <c r="J342" i="4" s="1"/>
  <c r="P342" i="2"/>
  <c r="I342" i="4" s="1"/>
  <c r="N342" i="2"/>
  <c r="G342" i="4" s="1"/>
  <c r="L342" i="2"/>
  <c r="E342" i="4" s="1"/>
  <c r="D466" i="4"/>
  <c r="P466" i="2"/>
  <c r="I466" i="4" s="1"/>
  <c r="H466" i="3"/>
  <c r="N466" i="2"/>
  <c r="G466" i="4" s="1"/>
  <c r="M466" i="2"/>
  <c r="F466" i="4" s="1"/>
  <c r="L466" i="2"/>
  <c r="E466" i="4" s="1"/>
  <c r="Q466" i="2"/>
  <c r="J466" i="4" s="1"/>
  <c r="D400" i="4"/>
  <c r="P400" i="2"/>
  <c r="I400" i="4" s="1"/>
  <c r="H400" i="3"/>
  <c r="M400" i="2"/>
  <c r="F400" i="4" s="1"/>
  <c r="Q400" i="2"/>
  <c r="J400" i="4" s="1"/>
  <c r="N400" i="2"/>
  <c r="G400" i="4" s="1"/>
  <c r="L400" i="2"/>
  <c r="E400" i="4" s="1"/>
  <c r="D280" i="4"/>
  <c r="P280" i="2"/>
  <c r="I280" i="4" s="1"/>
  <c r="M280" i="2"/>
  <c r="F280" i="4" s="1"/>
  <c r="H280" i="3"/>
  <c r="L280" i="2"/>
  <c r="E280" i="4" s="1"/>
  <c r="Q280" i="2"/>
  <c r="J280" i="4" s="1"/>
  <c r="N280" i="2"/>
  <c r="G280" i="4" s="1"/>
  <c r="D296" i="4"/>
  <c r="P296" i="2"/>
  <c r="I296" i="4" s="1"/>
  <c r="M296" i="2"/>
  <c r="F296" i="4" s="1"/>
  <c r="H296" i="3"/>
  <c r="L296" i="2"/>
  <c r="E296" i="4" s="1"/>
  <c r="Q296" i="2"/>
  <c r="J296" i="4" s="1"/>
  <c r="N296" i="2"/>
  <c r="G296" i="4" s="1"/>
  <c r="D335" i="4"/>
  <c r="N335" i="2"/>
  <c r="G335" i="4" s="1"/>
  <c r="L335" i="2"/>
  <c r="E335" i="4" s="1"/>
  <c r="H335" i="3"/>
  <c r="P335" i="2"/>
  <c r="I335" i="4" s="1"/>
  <c r="M335" i="2"/>
  <c r="F335" i="4" s="1"/>
  <c r="Q335" i="2"/>
  <c r="J335" i="4" s="1"/>
  <c r="D32" i="4"/>
  <c r="H32" i="3"/>
  <c r="I32" i="4"/>
  <c r="E32" i="4"/>
  <c r="G32" i="4"/>
  <c r="F32" i="4"/>
  <c r="J32" i="4"/>
  <c r="D278" i="4"/>
  <c r="M278" i="2"/>
  <c r="F278" i="4" s="1"/>
  <c r="H278" i="3"/>
  <c r="Q278" i="2"/>
  <c r="J278" i="4" s="1"/>
  <c r="P278" i="2"/>
  <c r="I278" i="4" s="1"/>
  <c r="N278" i="2"/>
  <c r="G278" i="4" s="1"/>
  <c r="L278" i="2"/>
  <c r="E278" i="4" s="1"/>
  <c r="D181" i="4"/>
  <c r="E181" i="4"/>
  <c r="H181" i="3"/>
  <c r="J181" i="4"/>
  <c r="I181" i="4"/>
  <c r="G181" i="4"/>
  <c r="F181" i="4"/>
  <c r="D83" i="4"/>
  <c r="H83" i="3"/>
  <c r="I83" i="4"/>
  <c r="G83" i="4"/>
  <c r="E83" i="4"/>
  <c r="J83" i="4"/>
  <c r="F83" i="4"/>
  <c r="D69" i="4"/>
  <c r="H69" i="3"/>
  <c r="G69" i="4"/>
  <c r="E69" i="4"/>
  <c r="J69" i="4"/>
  <c r="I69" i="4"/>
  <c r="F69" i="4"/>
  <c r="D36" i="4"/>
  <c r="H36" i="3"/>
  <c r="G36" i="4"/>
  <c r="F36" i="4"/>
  <c r="E36" i="4"/>
  <c r="J36" i="4"/>
  <c r="I36" i="4"/>
  <c r="D202" i="4"/>
  <c r="H202" i="3"/>
  <c r="N202" i="2"/>
  <c r="G202" i="4" s="1"/>
  <c r="M202" i="2"/>
  <c r="F202" i="4" s="1"/>
  <c r="L202" i="2"/>
  <c r="E202" i="4" s="1"/>
  <c r="Q202" i="2"/>
  <c r="J202" i="4" s="1"/>
  <c r="P202" i="2"/>
  <c r="I202" i="4" s="1"/>
  <c r="D232" i="4"/>
  <c r="P232" i="2"/>
  <c r="I232" i="4" s="1"/>
  <c r="M232" i="2"/>
  <c r="F232" i="4" s="1"/>
  <c r="H232" i="3"/>
  <c r="L232" i="2"/>
  <c r="E232" i="4" s="1"/>
  <c r="Q232" i="2"/>
  <c r="J232" i="4" s="1"/>
  <c r="N232" i="2"/>
  <c r="G232" i="4" s="1"/>
  <c r="D174" i="4"/>
  <c r="F174" i="4"/>
  <c r="H174" i="3"/>
  <c r="J174" i="4"/>
  <c r="I174" i="4"/>
  <c r="G174" i="4"/>
  <c r="E174" i="4"/>
  <c r="D42" i="4"/>
  <c r="H42" i="3"/>
  <c r="J42" i="4"/>
  <c r="I42" i="4"/>
  <c r="G42" i="4"/>
  <c r="F42" i="4"/>
  <c r="E42" i="4"/>
  <c r="D124" i="4"/>
  <c r="H124" i="3"/>
  <c r="J124" i="4"/>
  <c r="I124" i="4"/>
  <c r="F124" i="4"/>
  <c r="E124" i="4"/>
  <c r="G124" i="4"/>
  <c r="F4" i="5"/>
  <c r="D391" i="4"/>
  <c r="N391" i="2"/>
  <c r="G391" i="4" s="1"/>
  <c r="H391" i="3"/>
  <c r="L391" i="2"/>
  <c r="E391" i="4" s="1"/>
  <c r="Q391" i="2"/>
  <c r="J391" i="4" s="1"/>
  <c r="M391" i="2"/>
  <c r="F391" i="4" s="1"/>
  <c r="P391" i="2"/>
  <c r="I391" i="4" s="1"/>
  <c r="D382" i="4"/>
  <c r="H382" i="3"/>
  <c r="M382" i="2"/>
  <c r="F382" i="4" s="1"/>
  <c r="Q382" i="2"/>
  <c r="J382" i="4" s="1"/>
  <c r="P382" i="2"/>
  <c r="I382" i="4" s="1"/>
  <c r="N382" i="2"/>
  <c r="G382" i="4" s="1"/>
  <c r="L382" i="2"/>
  <c r="E382" i="4" s="1"/>
  <c r="D372" i="4"/>
  <c r="H372" i="3"/>
  <c r="Q372" i="2"/>
  <c r="J372" i="4" s="1"/>
  <c r="P372" i="2"/>
  <c r="I372" i="4" s="1"/>
  <c r="N372" i="2"/>
  <c r="G372" i="4" s="1"/>
  <c r="L372" i="2"/>
  <c r="E372" i="4" s="1"/>
  <c r="M372" i="2"/>
  <c r="F372" i="4" s="1"/>
  <c r="D337" i="4"/>
  <c r="Q337" i="2"/>
  <c r="J337" i="4" s="1"/>
  <c r="N337" i="2"/>
  <c r="G337" i="4" s="1"/>
  <c r="H337" i="3"/>
  <c r="P337" i="2"/>
  <c r="I337" i="4" s="1"/>
  <c r="L337" i="2"/>
  <c r="E337" i="4" s="1"/>
  <c r="M337" i="2"/>
  <c r="F337" i="4" s="1"/>
  <c r="D318" i="4"/>
  <c r="M318" i="2"/>
  <c r="F318" i="4" s="1"/>
  <c r="H318" i="3"/>
  <c r="Q318" i="2"/>
  <c r="J318" i="4" s="1"/>
  <c r="P318" i="2"/>
  <c r="I318" i="4" s="1"/>
  <c r="N318" i="2"/>
  <c r="G318" i="4" s="1"/>
  <c r="L318" i="2"/>
  <c r="E318" i="4" s="1"/>
  <c r="D244" i="4"/>
  <c r="H244" i="3"/>
  <c r="L244" i="2"/>
  <c r="E244" i="4" s="1"/>
  <c r="Q244" i="2"/>
  <c r="J244" i="4" s="1"/>
  <c r="N244" i="2"/>
  <c r="G244" i="4" s="1"/>
  <c r="P244" i="2"/>
  <c r="I244" i="4" s="1"/>
  <c r="M244" i="2"/>
  <c r="F244" i="4" s="1"/>
  <c r="D276" i="4"/>
  <c r="H276" i="3"/>
  <c r="L276" i="2"/>
  <c r="E276" i="4" s="1"/>
  <c r="Q276" i="2"/>
  <c r="J276" i="4" s="1"/>
  <c r="N276" i="2"/>
  <c r="G276" i="4" s="1"/>
  <c r="P276" i="2"/>
  <c r="I276" i="4" s="1"/>
  <c r="M276" i="2"/>
  <c r="F276" i="4" s="1"/>
  <c r="D260" i="4"/>
  <c r="H260" i="3"/>
  <c r="L260" i="2"/>
  <c r="E260" i="4" s="1"/>
  <c r="Q260" i="2"/>
  <c r="J260" i="4" s="1"/>
  <c r="M260" i="2"/>
  <c r="F260" i="4" s="1"/>
  <c r="P260" i="2"/>
  <c r="I260" i="4" s="1"/>
  <c r="N260" i="2"/>
  <c r="G260" i="4" s="1"/>
  <c r="D241" i="4"/>
  <c r="Q241" i="2"/>
  <c r="J241" i="4" s="1"/>
  <c r="N241" i="2"/>
  <c r="G241" i="4" s="1"/>
  <c r="H241" i="3"/>
  <c r="P241" i="2"/>
  <c r="I241" i="4" s="1"/>
  <c r="M241" i="2"/>
  <c r="F241" i="4" s="1"/>
  <c r="L241" i="2"/>
  <c r="E241" i="4" s="1"/>
  <c r="D222" i="4"/>
  <c r="M222" i="2"/>
  <c r="F222" i="4" s="1"/>
  <c r="H222" i="3"/>
  <c r="L222" i="2"/>
  <c r="E222" i="4" s="1"/>
  <c r="P222" i="2"/>
  <c r="I222" i="4" s="1"/>
  <c r="N222" i="2"/>
  <c r="G222" i="4" s="1"/>
  <c r="Q222" i="2"/>
  <c r="J222" i="4" s="1"/>
  <c r="D450" i="4"/>
  <c r="P450" i="2"/>
  <c r="I450" i="4" s="1"/>
  <c r="H450" i="3"/>
  <c r="N450" i="2"/>
  <c r="G450" i="4" s="1"/>
  <c r="M450" i="2"/>
  <c r="F450" i="4" s="1"/>
  <c r="L450" i="2"/>
  <c r="E450" i="4" s="1"/>
  <c r="Q450" i="2"/>
  <c r="J450" i="4" s="1"/>
  <c r="D432" i="4"/>
  <c r="P432" i="2"/>
  <c r="I432" i="4" s="1"/>
  <c r="H432" i="3"/>
  <c r="M432" i="2"/>
  <c r="F432" i="4" s="1"/>
  <c r="Q432" i="2"/>
  <c r="J432" i="4" s="1"/>
  <c r="N432" i="2"/>
  <c r="G432" i="4" s="1"/>
  <c r="L432" i="2"/>
  <c r="E432" i="4" s="1"/>
  <c r="D361" i="4"/>
  <c r="Q361" i="2"/>
  <c r="J361" i="4" s="1"/>
  <c r="N361" i="2"/>
  <c r="G361" i="4" s="1"/>
  <c r="H361" i="3"/>
  <c r="P361" i="2"/>
  <c r="I361" i="4" s="1"/>
  <c r="M361" i="2"/>
  <c r="F361" i="4" s="1"/>
  <c r="L361" i="2"/>
  <c r="E361" i="4" s="1"/>
  <c r="D295" i="4"/>
  <c r="N295" i="2"/>
  <c r="G295" i="4" s="1"/>
  <c r="L295" i="2"/>
  <c r="E295" i="4" s="1"/>
  <c r="H295" i="3"/>
  <c r="P295" i="2"/>
  <c r="I295" i="4" s="1"/>
  <c r="Q295" i="2"/>
  <c r="J295" i="4" s="1"/>
  <c r="M295" i="2"/>
  <c r="F295" i="4" s="1"/>
  <c r="D272" i="4"/>
  <c r="P272" i="2"/>
  <c r="I272" i="4" s="1"/>
  <c r="M272" i="2"/>
  <c r="F272" i="4" s="1"/>
  <c r="H272" i="3"/>
  <c r="N272" i="2"/>
  <c r="G272" i="4" s="1"/>
  <c r="Q272" i="2"/>
  <c r="J272" i="4" s="1"/>
  <c r="L272" i="2"/>
  <c r="E272" i="4" s="1"/>
  <c r="D214" i="4"/>
  <c r="M214" i="2"/>
  <c r="F214" i="4" s="1"/>
  <c r="H214" i="3"/>
  <c r="Q214" i="2"/>
  <c r="J214" i="4" s="1"/>
  <c r="L214" i="2"/>
  <c r="E214" i="4" s="1"/>
  <c r="P214" i="2"/>
  <c r="I214" i="4" s="1"/>
  <c r="N214" i="2"/>
  <c r="G214" i="4" s="1"/>
  <c r="D149" i="4"/>
  <c r="E149" i="4"/>
  <c r="H149" i="3"/>
  <c r="G149" i="4"/>
  <c r="J149" i="4"/>
  <c r="I149" i="4"/>
  <c r="F149" i="4"/>
  <c r="D482" i="4"/>
  <c r="H482" i="3"/>
  <c r="P482" i="2"/>
  <c r="I482" i="4" s="1"/>
  <c r="N482" i="2"/>
  <c r="G482" i="4" s="1"/>
  <c r="M482" i="2"/>
  <c r="F482" i="4" s="1"/>
  <c r="L482" i="2"/>
  <c r="E482" i="4" s="1"/>
  <c r="Q482" i="2"/>
  <c r="J482" i="4" s="1"/>
  <c r="D464" i="4"/>
  <c r="P464" i="2"/>
  <c r="I464" i="4" s="1"/>
  <c r="H464" i="3"/>
  <c r="M464" i="2"/>
  <c r="F464" i="4" s="1"/>
  <c r="Q464" i="2"/>
  <c r="J464" i="4" s="1"/>
  <c r="N464" i="2"/>
  <c r="G464" i="4" s="1"/>
  <c r="L464" i="2"/>
  <c r="E464" i="4" s="1"/>
  <c r="D316" i="4"/>
  <c r="H316" i="3"/>
  <c r="P316" i="2"/>
  <c r="I316" i="4" s="1"/>
  <c r="N316" i="2"/>
  <c r="G316" i="4" s="1"/>
  <c r="M316" i="2"/>
  <c r="F316" i="4" s="1"/>
  <c r="Q316" i="2"/>
  <c r="J316" i="4" s="1"/>
  <c r="L316" i="2"/>
  <c r="E316" i="4" s="1"/>
  <c r="D449" i="4"/>
  <c r="Q449" i="2"/>
  <c r="J449" i="4" s="1"/>
  <c r="N449" i="2"/>
  <c r="G449" i="4" s="1"/>
  <c r="H449" i="3"/>
  <c r="P449" i="2"/>
  <c r="I449" i="4" s="1"/>
  <c r="M449" i="2"/>
  <c r="F449" i="4" s="1"/>
  <c r="L449" i="2"/>
  <c r="E449" i="4" s="1"/>
  <c r="D338" i="4"/>
  <c r="P338" i="2"/>
  <c r="I338" i="4" s="1"/>
  <c r="H338" i="3"/>
  <c r="N338" i="2"/>
  <c r="G338" i="4" s="1"/>
  <c r="M338" i="2"/>
  <c r="F338" i="4" s="1"/>
  <c r="L338" i="2"/>
  <c r="E338" i="4" s="1"/>
  <c r="Q338" i="2"/>
  <c r="J338" i="4" s="1"/>
  <c r="D196" i="4"/>
  <c r="H196" i="3"/>
  <c r="N196" i="2"/>
  <c r="G196" i="4" s="1"/>
  <c r="P196" i="2"/>
  <c r="I196" i="4" s="1"/>
  <c r="M196" i="2"/>
  <c r="F196" i="4" s="1"/>
  <c r="L196" i="2"/>
  <c r="E196" i="4" s="1"/>
  <c r="Q196" i="2"/>
  <c r="J196" i="4" s="1"/>
  <c r="D230" i="4"/>
  <c r="M230" i="2"/>
  <c r="F230" i="4" s="1"/>
  <c r="H230" i="3"/>
  <c r="Q230" i="2"/>
  <c r="J230" i="4" s="1"/>
  <c r="P230" i="2"/>
  <c r="I230" i="4" s="1"/>
  <c r="N230" i="2"/>
  <c r="G230" i="4" s="1"/>
  <c r="L230" i="2"/>
  <c r="E230" i="4" s="1"/>
  <c r="D145" i="4"/>
  <c r="J145" i="4"/>
  <c r="H145" i="3"/>
  <c r="F145" i="4"/>
  <c r="E145" i="4"/>
  <c r="G145" i="4"/>
  <c r="I145" i="4"/>
  <c r="D23" i="4"/>
  <c r="H23" i="3"/>
  <c r="G23" i="4"/>
  <c r="J23" i="4"/>
  <c r="E23" i="4"/>
  <c r="I23" i="4"/>
  <c r="F23" i="4"/>
  <c r="D199" i="4"/>
  <c r="N199" i="2"/>
  <c r="G199" i="4" s="1"/>
  <c r="H199" i="3"/>
  <c r="P199" i="2"/>
  <c r="I199" i="4" s="1"/>
  <c r="M199" i="2"/>
  <c r="F199" i="4" s="1"/>
  <c r="L199" i="2"/>
  <c r="E199" i="4" s="1"/>
  <c r="Q199" i="2"/>
  <c r="J199" i="4" s="1"/>
  <c r="D136" i="4"/>
  <c r="H136" i="3"/>
  <c r="E136" i="4"/>
  <c r="I136" i="4"/>
  <c r="J136" i="4"/>
  <c r="F136" i="4"/>
  <c r="G136" i="4"/>
  <c r="D87" i="4"/>
  <c r="H87" i="3"/>
  <c r="F87" i="4"/>
  <c r="I87" i="4"/>
  <c r="G87" i="4"/>
  <c r="E87" i="4"/>
  <c r="J87" i="4"/>
  <c r="D144" i="4"/>
  <c r="H144" i="3"/>
  <c r="E144" i="4"/>
  <c r="I144" i="4"/>
  <c r="F144" i="4"/>
  <c r="J144" i="4"/>
  <c r="G144" i="4"/>
  <c r="D194" i="4"/>
  <c r="H194" i="3"/>
  <c r="Q194" i="2"/>
  <c r="J194" i="4" s="1"/>
  <c r="N194" i="2"/>
  <c r="G194" i="4" s="1"/>
  <c r="P194" i="2"/>
  <c r="I194" i="4" s="1"/>
  <c r="M194" i="2"/>
  <c r="F194" i="4" s="1"/>
  <c r="L194" i="2"/>
  <c r="E194" i="4" s="1"/>
  <c r="D68" i="4"/>
  <c r="H68" i="3"/>
  <c r="J68" i="4"/>
  <c r="E68" i="4"/>
  <c r="I68" i="4"/>
  <c r="F68" i="4"/>
  <c r="G68" i="4"/>
  <c r="D492" i="4"/>
  <c r="H492" i="3"/>
  <c r="P492" i="2"/>
  <c r="I492" i="4" s="1"/>
  <c r="Q492" i="2"/>
  <c r="J492" i="4" s="1"/>
  <c r="N492" i="2"/>
  <c r="G492" i="4" s="1"/>
  <c r="M492" i="2"/>
  <c r="F492" i="4" s="1"/>
  <c r="L492" i="2"/>
  <c r="E492" i="4" s="1"/>
  <c r="D289" i="4"/>
  <c r="Q289" i="2"/>
  <c r="J289" i="4" s="1"/>
  <c r="N289" i="2"/>
  <c r="G289" i="4" s="1"/>
  <c r="H289" i="3"/>
  <c r="P289" i="2"/>
  <c r="I289" i="4" s="1"/>
  <c r="M289" i="2"/>
  <c r="F289" i="4" s="1"/>
  <c r="L289" i="2"/>
  <c r="E289" i="4" s="1"/>
  <c r="D476" i="4"/>
  <c r="H476" i="3"/>
  <c r="P476" i="2"/>
  <c r="I476" i="4" s="1"/>
  <c r="M476" i="2"/>
  <c r="F476" i="4" s="1"/>
  <c r="L476" i="2"/>
  <c r="E476" i="4" s="1"/>
  <c r="N476" i="2"/>
  <c r="G476" i="4" s="1"/>
  <c r="Q476" i="2"/>
  <c r="J476" i="4" s="1"/>
  <c r="D407" i="4"/>
  <c r="N407" i="2"/>
  <c r="G407" i="4" s="1"/>
  <c r="H407" i="3"/>
  <c r="L407" i="2"/>
  <c r="E407" i="4" s="1"/>
  <c r="Q407" i="2"/>
  <c r="J407" i="4" s="1"/>
  <c r="M407" i="2"/>
  <c r="F407" i="4" s="1"/>
  <c r="P407" i="2"/>
  <c r="I407" i="4" s="1"/>
  <c r="D369" i="4"/>
  <c r="Q369" i="2"/>
  <c r="J369" i="4" s="1"/>
  <c r="N369" i="2"/>
  <c r="G369" i="4" s="1"/>
  <c r="H369" i="3"/>
  <c r="P369" i="2"/>
  <c r="I369" i="4" s="1"/>
  <c r="L369" i="2"/>
  <c r="E369" i="4" s="1"/>
  <c r="M369" i="2"/>
  <c r="F369" i="4" s="1"/>
  <c r="D500" i="4"/>
  <c r="H500" i="3"/>
  <c r="L500" i="2"/>
  <c r="E500" i="4" s="1"/>
  <c r="Q500" i="2"/>
  <c r="J500" i="4" s="1"/>
  <c r="N500" i="2"/>
  <c r="G500" i="4" s="1"/>
  <c r="M500" i="2"/>
  <c r="F500" i="4" s="1"/>
  <c r="P500" i="2"/>
  <c r="I500" i="4" s="1"/>
  <c r="D494" i="4"/>
  <c r="H494" i="3"/>
  <c r="M494" i="2"/>
  <c r="F494" i="4" s="1"/>
  <c r="L494" i="2"/>
  <c r="E494" i="4" s="1"/>
  <c r="Q494" i="2"/>
  <c r="J494" i="4" s="1"/>
  <c r="P494" i="2"/>
  <c r="I494" i="4" s="1"/>
  <c r="N494" i="2"/>
  <c r="G494" i="4" s="1"/>
  <c r="D478" i="4"/>
  <c r="H478" i="3"/>
  <c r="M478" i="2"/>
  <c r="F478" i="4" s="1"/>
  <c r="Q478" i="2"/>
  <c r="J478" i="4" s="1"/>
  <c r="P478" i="2"/>
  <c r="I478" i="4" s="1"/>
  <c r="L478" i="2"/>
  <c r="E478" i="4" s="1"/>
  <c r="N478" i="2"/>
  <c r="G478" i="4" s="1"/>
  <c r="D462" i="4"/>
  <c r="H462" i="3"/>
  <c r="M462" i="2"/>
  <c r="F462" i="4" s="1"/>
  <c r="Q462" i="2"/>
  <c r="J462" i="4" s="1"/>
  <c r="P462" i="2"/>
  <c r="I462" i="4" s="1"/>
  <c r="N462" i="2"/>
  <c r="G462" i="4" s="1"/>
  <c r="L462" i="2"/>
  <c r="E462" i="4" s="1"/>
  <c r="D446" i="4"/>
  <c r="H446" i="3"/>
  <c r="M446" i="2"/>
  <c r="F446" i="4" s="1"/>
  <c r="Q446" i="2"/>
  <c r="J446" i="4" s="1"/>
  <c r="P446" i="2"/>
  <c r="I446" i="4" s="1"/>
  <c r="N446" i="2"/>
  <c r="G446" i="4" s="1"/>
  <c r="L446" i="2"/>
  <c r="E446" i="4" s="1"/>
  <c r="D430" i="4"/>
  <c r="H430" i="3"/>
  <c r="M430" i="2"/>
  <c r="F430" i="4" s="1"/>
  <c r="Q430" i="2"/>
  <c r="J430" i="4" s="1"/>
  <c r="P430" i="2"/>
  <c r="I430" i="4" s="1"/>
  <c r="N430" i="2"/>
  <c r="G430" i="4" s="1"/>
  <c r="L430" i="2"/>
  <c r="E430" i="4" s="1"/>
  <c r="D414" i="4"/>
  <c r="H414" i="3"/>
  <c r="M414" i="2"/>
  <c r="F414" i="4" s="1"/>
  <c r="Q414" i="2"/>
  <c r="J414" i="4" s="1"/>
  <c r="P414" i="2"/>
  <c r="I414" i="4" s="1"/>
  <c r="N414" i="2"/>
  <c r="G414" i="4" s="1"/>
  <c r="L414" i="2"/>
  <c r="E414" i="4" s="1"/>
  <c r="D398" i="4"/>
  <c r="H398" i="3"/>
  <c r="M398" i="2"/>
  <c r="F398" i="4" s="1"/>
  <c r="Q398" i="2"/>
  <c r="J398" i="4" s="1"/>
  <c r="P398" i="2"/>
  <c r="I398" i="4" s="1"/>
  <c r="L398" i="2"/>
  <c r="E398" i="4" s="1"/>
  <c r="N398" i="2"/>
  <c r="G398" i="4" s="1"/>
  <c r="D497" i="4"/>
  <c r="H497" i="3"/>
  <c r="Q497" i="2"/>
  <c r="J497" i="4" s="1"/>
  <c r="P497" i="2"/>
  <c r="I497" i="4" s="1"/>
  <c r="N497" i="2"/>
  <c r="G497" i="4" s="1"/>
  <c r="M497" i="2"/>
  <c r="F497" i="4" s="1"/>
  <c r="L497" i="2"/>
  <c r="E497" i="4" s="1"/>
  <c r="D487" i="4"/>
  <c r="H487" i="3"/>
  <c r="N487" i="2"/>
  <c r="G487" i="4" s="1"/>
  <c r="L487" i="2"/>
  <c r="E487" i="4" s="1"/>
  <c r="M487" i="2"/>
  <c r="F487" i="4" s="1"/>
  <c r="P487" i="2"/>
  <c r="I487" i="4" s="1"/>
  <c r="Q487" i="2"/>
  <c r="J487" i="4" s="1"/>
  <c r="D460" i="4"/>
  <c r="H460" i="3"/>
  <c r="P460" i="2"/>
  <c r="I460" i="4" s="1"/>
  <c r="Q460" i="2"/>
  <c r="J460" i="4" s="1"/>
  <c r="N460" i="2"/>
  <c r="G460" i="4" s="1"/>
  <c r="M460" i="2"/>
  <c r="F460" i="4" s="1"/>
  <c r="L460" i="2"/>
  <c r="E460" i="4" s="1"/>
  <c r="D356" i="4"/>
  <c r="H356" i="3"/>
  <c r="Q356" i="2"/>
  <c r="J356" i="4" s="1"/>
  <c r="P356" i="2"/>
  <c r="I356" i="4" s="1"/>
  <c r="N356" i="2"/>
  <c r="G356" i="4" s="1"/>
  <c r="M356" i="2"/>
  <c r="F356" i="4" s="1"/>
  <c r="L356" i="2"/>
  <c r="E356" i="4" s="1"/>
  <c r="D292" i="4"/>
  <c r="H292" i="3"/>
  <c r="L292" i="2"/>
  <c r="E292" i="4" s="1"/>
  <c r="Q292" i="2"/>
  <c r="J292" i="4" s="1"/>
  <c r="P292" i="2"/>
  <c r="I292" i="4" s="1"/>
  <c r="M292" i="2"/>
  <c r="F292" i="4" s="1"/>
  <c r="N292" i="2"/>
  <c r="G292" i="4" s="1"/>
  <c r="D257" i="4"/>
  <c r="Q257" i="2"/>
  <c r="J257" i="4" s="1"/>
  <c r="N257" i="2"/>
  <c r="G257" i="4" s="1"/>
  <c r="H257" i="3"/>
  <c r="P257" i="2"/>
  <c r="I257" i="4" s="1"/>
  <c r="M257" i="2"/>
  <c r="F257" i="4" s="1"/>
  <c r="L257" i="2"/>
  <c r="E257" i="4" s="1"/>
  <c r="D238" i="4"/>
  <c r="M238" i="2"/>
  <c r="F238" i="4" s="1"/>
  <c r="H238" i="3"/>
  <c r="P238" i="2"/>
  <c r="I238" i="4" s="1"/>
  <c r="L238" i="2"/>
  <c r="E238" i="4" s="1"/>
  <c r="N238" i="2"/>
  <c r="G238" i="4" s="1"/>
  <c r="Q238" i="2"/>
  <c r="J238" i="4" s="1"/>
  <c r="D359" i="4"/>
  <c r="N359" i="2"/>
  <c r="G359" i="4" s="1"/>
  <c r="L359" i="2"/>
  <c r="E359" i="4" s="1"/>
  <c r="H359" i="3"/>
  <c r="P359" i="2"/>
  <c r="I359" i="4" s="1"/>
  <c r="Q359" i="2"/>
  <c r="J359" i="4" s="1"/>
  <c r="M359" i="2"/>
  <c r="F359" i="4" s="1"/>
  <c r="D313" i="4"/>
  <c r="Q313" i="2"/>
  <c r="J313" i="4" s="1"/>
  <c r="N313" i="2"/>
  <c r="G313" i="4" s="1"/>
  <c r="H313" i="3"/>
  <c r="P313" i="2"/>
  <c r="I313" i="4" s="1"/>
  <c r="M313" i="2"/>
  <c r="F313" i="4" s="1"/>
  <c r="L313" i="2"/>
  <c r="E313" i="4" s="1"/>
  <c r="D265" i="4"/>
  <c r="Q265" i="2"/>
  <c r="J265" i="4" s="1"/>
  <c r="N265" i="2"/>
  <c r="G265" i="4" s="1"/>
  <c r="H265" i="3"/>
  <c r="P265" i="2"/>
  <c r="I265" i="4" s="1"/>
  <c r="M265" i="2"/>
  <c r="F265" i="4" s="1"/>
  <c r="L265" i="2"/>
  <c r="E265" i="4" s="1"/>
  <c r="D173" i="4"/>
  <c r="E173" i="4"/>
  <c r="H173" i="3"/>
  <c r="G173" i="4"/>
  <c r="F173" i="4"/>
  <c r="J173" i="4"/>
  <c r="I173" i="4"/>
  <c r="D143" i="4"/>
  <c r="H143" i="3"/>
  <c r="J143" i="4"/>
  <c r="E143" i="4"/>
  <c r="I143" i="4"/>
  <c r="G143" i="4"/>
  <c r="F143" i="4"/>
  <c r="D402" i="4"/>
  <c r="P402" i="2"/>
  <c r="I402" i="4" s="1"/>
  <c r="H402" i="3"/>
  <c r="N402" i="2"/>
  <c r="G402" i="4" s="1"/>
  <c r="M402" i="2"/>
  <c r="F402" i="4" s="1"/>
  <c r="L402" i="2"/>
  <c r="E402" i="4" s="1"/>
  <c r="Q402" i="2"/>
  <c r="J402" i="4" s="1"/>
  <c r="D160" i="4"/>
  <c r="I160" i="4"/>
  <c r="H160" i="3"/>
  <c r="J160" i="4"/>
  <c r="E160" i="4"/>
  <c r="G160" i="4"/>
  <c r="F160" i="4"/>
  <c r="D417" i="4"/>
  <c r="Q417" i="2"/>
  <c r="J417" i="4" s="1"/>
  <c r="N417" i="2"/>
  <c r="G417" i="4" s="1"/>
  <c r="H417" i="3"/>
  <c r="M417" i="2"/>
  <c r="F417" i="4" s="1"/>
  <c r="L417" i="2"/>
  <c r="E417" i="4" s="1"/>
  <c r="P417" i="2"/>
  <c r="I417" i="4" s="1"/>
  <c r="D300" i="4"/>
  <c r="H300" i="3"/>
  <c r="P300" i="2"/>
  <c r="I300" i="4" s="1"/>
  <c r="N300" i="2"/>
  <c r="G300" i="4" s="1"/>
  <c r="M300" i="2"/>
  <c r="F300" i="4" s="1"/>
  <c r="L300" i="2"/>
  <c r="E300" i="4" s="1"/>
  <c r="Q300" i="2"/>
  <c r="J300" i="4" s="1"/>
  <c r="D434" i="4"/>
  <c r="P434" i="2"/>
  <c r="I434" i="4" s="1"/>
  <c r="H434" i="3"/>
  <c r="N434" i="2"/>
  <c r="G434" i="4" s="1"/>
  <c r="M434" i="2"/>
  <c r="F434" i="4" s="1"/>
  <c r="L434" i="2"/>
  <c r="E434" i="4" s="1"/>
  <c r="Q434" i="2"/>
  <c r="J434" i="4" s="1"/>
  <c r="D358" i="4"/>
  <c r="M358" i="2"/>
  <c r="F358" i="4" s="1"/>
  <c r="H358" i="3"/>
  <c r="Q358" i="2"/>
  <c r="J358" i="4" s="1"/>
  <c r="P358" i="2"/>
  <c r="I358" i="4" s="1"/>
  <c r="N358" i="2"/>
  <c r="G358" i="4" s="1"/>
  <c r="L358" i="2"/>
  <c r="E358" i="4" s="1"/>
  <c r="D310" i="4"/>
  <c r="M310" i="2"/>
  <c r="F310" i="4" s="1"/>
  <c r="H310" i="3"/>
  <c r="Q310" i="2"/>
  <c r="J310" i="4" s="1"/>
  <c r="P310" i="2"/>
  <c r="I310" i="4" s="1"/>
  <c r="N310" i="2"/>
  <c r="G310" i="4" s="1"/>
  <c r="L310" i="2"/>
  <c r="E310" i="4" s="1"/>
  <c r="D354" i="4"/>
  <c r="P354" i="2"/>
  <c r="I354" i="4" s="1"/>
  <c r="N354" i="2"/>
  <c r="G354" i="4" s="1"/>
  <c r="M354" i="2"/>
  <c r="F354" i="4" s="1"/>
  <c r="L354" i="2"/>
  <c r="E354" i="4" s="1"/>
  <c r="H354" i="3"/>
  <c r="Q354" i="2"/>
  <c r="J354" i="4" s="1"/>
  <c r="D320" i="4"/>
  <c r="P320" i="2"/>
  <c r="I320" i="4" s="1"/>
  <c r="M320" i="2"/>
  <c r="F320" i="4" s="1"/>
  <c r="H320" i="3"/>
  <c r="Q320" i="2"/>
  <c r="J320" i="4" s="1"/>
  <c r="N320" i="2"/>
  <c r="G320" i="4" s="1"/>
  <c r="L320" i="2"/>
  <c r="E320" i="4" s="1"/>
  <c r="D383" i="4"/>
  <c r="N383" i="2"/>
  <c r="G383" i="4" s="1"/>
  <c r="H383" i="3"/>
  <c r="L383" i="2"/>
  <c r="E383" i="4" s="1"/>
  <c r="P383" i="2"/>
  <c r="I383" i="4" s="1"/>
  <c r="M383" i="2"/>
  <c r="F383" i="4" s="1"/>
  <c r="Q383" i="2"/>
  <c r="J383" i="4" s="1"/>
  <c r="D148" i="4"/>
  <c r="H148" i="3"/>
  <c r="I148" i="4"/>
  <c r="J148" i="4"/>
  <c r="G148" i="4"/>
  <c r="F148" i="4"/>
  <c r="E148" i="4"/>
  <c r="D424" i="4"/>
  <c r="P424" i="2"/>
  <c r="I424" i="4" s="1"/>
  <c r="H424" i="3"/>
  <c r="M424" i="2"/>
  <c r="F424" i="4" s="1"/>
  <c r="L424" i="2"/>
  <c r="E424" i="4" s="1"/>
  <c r="Q424" i="2"/>
  <c r="J424" i="4" s="1"/>
  <c r="N424" i="2"/>
  <c r="G424" i="4" s="1"/>
  <c r="D200" i="4"/>
  <c r="P200" i="2"/>
  <c r="I200" i="4" s="1"/>
  <c r="H200" i="3"/>
  <c r="M200" i="2"/>
  <c r="F200" i="4" s="1"/>
  <c r="Q200" i="2"/>
  <c r="J200" i="4" s="1"/>
  <c r="N200" i="2"/>
  <c r="G200" i="4" s="1"/>
  <c r="L200" i="2"/>
  <c r="E200" i="4" s="1"/>
  <c r="D167" i="4"/>
  <c r="G167" i="4"/>
  <c r="H167" i="3"/>
  <c r="I167" i="4"/>
  <c r="F167" i="4"/>
  <c r="E167" i="4"/>
  <c r="J167" i="4"/>
  <c r="D141" i="4"/>
  <c r="H141" i="3"/>
  <c r="J141" i="4"/>
  <c r="E141" i="4"/>
  <c r="G141" i="4"/>
  <c r="I141" i="4"/>
  <c r="F141" i="4"/>
  <c r="D116" i="4"/>
  <c r="H116" i="3"/>
  <c r="J116" i="4"/>
  <c r="I116" i="4"/>
  <c r="F116" i="4"/>
  <c r="G116" i="4"/>
  <c r="E116" i="4"/>
  <c r="D79" i="4"/>
  <c r="H79" i="3"/>
  <c r="I79" i="4"/>
  <c r="G79" i="4"/>
  <c r="J79" i="4"/>
  <c r="F79" i="4"/>
  <c r="E79" i="4"/>
  <c r="D18" i="4"/>
  <c r="H18" i="3"/>
  <c r="J18" i="4"/>
  <c r="I18" i="4"/>
  <c r="E18" i="4"/>
  <c r="G18" i="4"/>
  <c r="F18" i="4"/>
  <c r="D246" i="4"/>
  <c r="M246" i="2"/>
  <c r="F246" i="4" s="1"/>
  <c r="H246" i="3"/>
  <c r="Q246" i="2"/>
  <c r="J246" i="4" s="1"/>
  <c r="P246" i="2"/>
  <c r="I246" i="4" s="1"/>
  <c r="N246" i="2"/>
  <c r="G246" i="4" s="1"/>
  <c r="L246" i="2"/>
  <c r="E246" i="4" s="1"/>
  <c r="D170" i="4"/>
  <c r="H170" i="3"/>
  <c r="G170" i="4"/>
  <c r="F170" i="4"/>
  <c r="E170" i="4"/>
  <c r="J170" i="4"/>
  <c r="I170" i="4"/>
  <c r="N215" i="2"/>
  <c r="G215" i="4" s="1"/>
  <c r="D215" i="4"/>
  <c r="L215" i="2"/>
  <c r="E215" i="4" s="1"/>
  <c r="H215" i="3"/>
  <c r="Q215" i="2"/>
  <c r="J215" i="4" s="1"/>
  <c r="P215" i="2"/>
  <c r="I215" i="4" s="1"/>
  <c r="M215" i="2"/>
  <c r="F215" i="4" s="1"/>
  <c r="D162" i="4"/>
  <c r="H162" i="3"/>
  <c r="J162" i="4"/>
  <c r="E162" i="4"/>
  <c r="I162" i="4"/>
  <c r="F162" i="4"/>
  <c r="G162" i="4"/>
  <c r="D56" i="4"/>
  <c r="H56" i="3"/>
  <c r="E56" i="4"/>
  <c r="I56" i="4"/>
  <c r="G56" i="4"/>
  <c r="F56" i="4"/>
  <c r="J56" i="4"/>
  <c r="D158" i="4"/>
  <c r="F158" i="4"/>
  <c r="H158" i="3"/>
  <c r="J158" i="4"/>
  <c r="I158" i="4"/>
  <c r="G158" i="4"/>
  <c r="E158" i="4"/>
  <c r="D125" i="4"/>
  <c r="H125" i="3"/>
  <c r="J125" i="4"/>
  <c r="E125" i="4"/>
  <c r="G125" i="4"/>
  <c r="F125" i="4"/>
  <c r="I125" i="4"/>
  <c r="D248" i="4"/>
  <c r="P248" i="2"/>
  <c r="I248" i="4" s="1"/>
  <c r="M248" i="2"/>
  <c r="F248" i="4" s="1"/>
  <c r="H248" i="3"/>
  <c r="L248" i="2"/>
  <c r="E248" i="4" s="1"/>
  <c r="Q248" i="2"/>
  <c r="J248" i="4" s="1"/>
  <c r="N248" i="2"/>
  <c r="G248" i="4" s="1"/>
  <c r="D38" i="4"/>
  <c r="H38" i="3"/>
  <c r="F38" i="4"/>
  <c r="J38" i="4"/>
  <c r="I38" i="4"/>
  <c r="G38" i="4"/>
  <c r="E38" i="4"/>
  <c r="D471" i="4"/>
  <c r="H471" i="3"/>
  <c r="N471" i="2"/>
  <c r="G471" i="4" s="1"/>
  <c r="L471" i="2"/>
  <c r="E471" i="4" s="1"/>
  <c r="Q471" i="2"/>
  <c r="J471" i="4" s="1"/>
  <c r="P471" i="2"/>
  <c r="I471" i="4" s="1"/>
  <c r="M471" i="2"/>
  <c r="F471" i="4" s="1"/>
  <c r="D444" i="4"/>
  <c r="H444" i="3"/>
  <c r="P444" i="2"/>
  <c r="I444" i="4" s="1"/>
  <c r="Q444" i="2"/>
  <c r="J444" i="4" s="1"/>
  <c r="N444" i="2"/>
  <c r="G444" i="4" s="1"/>
  <c r="L444" i="2"/>
  <c r="E444" i="4" s="1"/>
  <c r="M444" i="2"/>
  <c r="F444" i="4" s="1"/>
  <c r="D495" i="4"/>
  <c r="H495" i="3"/>
  <c r="N495" i="2"/>
  <c r="G495" i="4" s="1"/>
  <c r="M495" i="2"/>
  <c r="F495" i="4" s="1"/>
  <c r="L495" i="2"/>
  <c r="E495" i="4" s="1"/>
  <c r="P495" i="2"/>
  <c r="I495" i="4" s="1"/>
  <c r="Q495" i="2"/>
  <c r="J495" i="4" s="1"/>
  <c r="D439" i="4"/>
  <c r="N439" i="2"/>
  <c r="G439" i="4" s="1"/>
  <c r="H439" i="3"/>
  <c r="L439" i="2"/>
  <c r="E439" i="4" s="1"/>
  <c r="P439" i="2"/>
  <c r="I439" i="4" s="1"/>
  <c r="M439" i="2"/>
  <c r="F439" i="4" s="1"/>
  <c r="Q439" i="2"/>
  <c r="J439" i="4" s="1"/>
  <c r="D412" i="4"/>
  <c r="H412" i="3"/>
  <c r="P412" i="2"/>
  <c r="I412" i="4" s="1"/>
  <c r="Q412" i="2"/>
  <c r="J412" i="4" s="1"/>
  <c r="N412" i="2"/>
  <c r="G412" i="4" s="1"/>
  <c r="M412" i="2"/>
  <c r="F412" i="4" s="1"/>
  <c r="L412" i="2"/>
  <c r="E412" i="4" s="1"/>
  <c r="D366" i="4"/>
  <c r="M366" i="2"/>
  <c r="F366" i="4" s="1"/>
  <c r="H366" i="3"/>
  <c r="Q366" i="2"/>
  <c r="J366" i="4" s="1"/>
  <c r="P366" i="2"/>
  <c r="I366" i="4" s="1"/>
  <c r="N366" i="2"/>
  <c r="G366" i="4" s="1"/>
  <c r="L366" i="2"/>
  <c r="E366" i="4" s="1"/>
  <c r="D308" i="4"/>
  <c r="H308" i="3"/>
  <c r="L308" i="2"/>
  <c r="E308" i="4" s="1"/>
  <c r="Q308" i="2"/>
  <c r="J308" i="4" s="1"/>
  <c r="P308" i="2"/>
  <c r="I308" i="4" s="1"/>
  <c r="N308" i="2"/>
  <c r="G308" i="4" s="1"/>
  <c r="M308" i="2"/>
  <c r="F308" i="4" s="1"/>
  <c r="D273" i="4"/>
  <c r="Q273" i="2"/>
  <c r="J273" i="4" s="1"/>
  <c r="N273" i="2"/>
  <c r="G273" i="4" s="1"/>
  <c r="H273" i="3"/>
  <c r="P273" i="2"/>
  <c r="I273" i="4" s="1"/>
  <c r="M273" i="2"/>
  <c r="F273" i="4" s="1"/>
  <c r="L273" i="2"/>
  <c r="E273" i="4" s="1"/>
  <c r="D254" i="4"/>
  <c r="M254" i="2"/>
  <c r="F254" i="4" s="1"/>
  <c r="H254" i="3"/>
  <c r="P254" i="2"/>
  <c r="I254" i="4" s="1"/>
  <c r="L254" i="2"/>
  <c r="E254" i="4" s="1"/>
  <c r="Q254" i="2"/>
  <c r="J254" i="4" s="1"/>
  <c r="N254" i="2"/>
  <c r="G254" i="4" s="1"/>
  <c r="D212" i="4"/>
  <c r="H212" i="3"/>
  <c r="N212" i="2"/>
  <c r="G212" i="4" s="1"/>
  <c r="M212" i="2"/>
  <c r="F212" i="4" s="1"/>
  <c r="L212" i="2"/>
  <c r="E212" i="4" s="1"/>
  <c r="Q212" i="2"/>
  <c r="J212" i="4" s="1"/>
  <c r="P212" i="2"/>
  <c r="I212" i="4" s="1"/>
  <c r="D481" i="4"/>
  <c r="H481" i="3"/>
  <c r="Q481" i="2"/>
  <c r="J481" i="4" s="1"/>
  <c r="N481" i="2"/>
  <c r="G481" i="4" s="1"/>
  <c r="P481" i="2"/>
  <c r="I481" i="4" s="1"/>
  <c r="L481" i="2"/>
  <c r="E481" i="4" s="1"/>
  <c r="M481" i="2"/>
  <c r="F481" i="4" s="1"/>
  <c r="D422" i="4"/>
  <c r="H422" i="3"/>
  <c r="M422" i="2"/>
  <c r="F422" i="4" s="1"/>
  <c r="Q422" i="2"/>
  <c r="J422" i="4" s="1"/>
  <c r="P422" i="2"/>
  <c r="I422" i="4" s="1"/>
  <c r="L422" i="2"/>
  <c r="E422" i="4" s="1"/>
  <c r="N422" i="2"/>
  <c r="G422" i="4" s="1"/>
  <c r="D311" i="4"/>
  <c r="N311" i="2"/>
  <c r="G311" i="4" s="1"/>
  <c r="L311" i="2"/>
  <c r="E311" i="4" s="1"/>
  <c r="H311" i="3"/>
  <c r="P311" i="2"/>
  <c r="I311" i="4" s="1"/>
  <c r="Q311" i="2"/>
  <c r="J311" i="4" s="1"/>
  <c r="M311" i="2"/>
  <c r="F311" i="4" s="1"/>
  <c r="D263" i="4"/>
  <c r="N263" i="2"/>
  <c r="G263" i="4" s="1"/>
  <c r="L263" i="2"/>
  <c r="E263" i="4" s="1"/>
  <c r="H263" i="3"/>
  <c r="P263" i="2"/>
  <c r="I263" i="4" s="1"/>
  <c r="Q263" i="2"/>
  <c r="J263" i="4" s="1"/>
  <c r="M263" i="2"/>
  <c r="F263" i="4" s="1"/>
  <c r="D240" i="4"/>
  <c r="P240" i="2"/>
  <c r="I240" i="4" s="1"/>
  <c r="M240" i="2"/>
  <c r="F240" i="4" s="1"/>
  <c r="H240" i="3"/>
  <c r="N240" i="2"/>
  <c r="G240" i="4" s="1"/>
  <c r="Q240" i="2"/>
  <c r="J240" i="4" s="1"/>
  <c r="L240" i="2"/>
  <c r="E240" i="4" s="1"/>
  <c r="D169" i="4"/>
  <c r="J169" i="4"/>
  <c r="H169" i="3"/>
  <c r="I169" i="4"/>
  <c r="E169" i="4"/>
  <c r="G169" i="4"/>
  <c r="F169" i="4"/>
  <c r="D135" i="4"/>
  <c r="H135" i="3"/>
  <c r="E135" i="4"/>
  <c r="J135" i="4"/>
  <c r="G135" i="4"/>
  <c r="I135" i="4"/>
  <c r="F135" i="4"/>
  <c r="D157" i="4"/>
  <c r="E157" i="4"/>
  <c r="H157" i="3"/>
  <c r="F157" i="4"/>
  <c r="I157" i="4"/>
  <c r="J157" i="4"/>
  <c r="G157" i="4"/>
  <c r="D252" i="4"/>
  <c r="H252" i="3"/>
  <c r="P252" i="2"/>
  <c r="I252" i="4" s="1"/>
  <c r="N252" i="2"/>
  <c r="G252" i="4" s="1"/>
  <c r="M252" i="2"/>
  <c r="F252" i="4" s="1"/>
  <c r="L252" i="2"/>
  <c r="E252" i="4" s="1"/>
  <c r="Q252" i="2"/>
  <c r="J252" i="4" s="1"/>
  <c r="D332" i="4"/>
  <c r="H332" i="3"/>
  <c r="P332" i="2"/>
  <c r="I332" i="4" s="1"/>
  <c r="N332" i="2"/>
  <c r="G332" i="4" s="1"/>
  <c r="M332" i="2"/>
  <c r="F332" i="4" s="1"/>
  <c r="Q332" i="2"/>
  <c r="J332" i="4" s="1"/>
  <c r="L332" i="2"/>
  <c r="E332" i="4" s="1"/>
  <c r="D303" i="4"/>
  <c r="N303" i="2"/>
  <c r="G303" i="4" s="1"/>
  <c r="L303" i="2"/>
  <c r="E303" i="4" s="1"/>
  <c r="H303" i="3"/>
  <c r="P303" i="2"/>
  <c r="I303" i="4" s="1"/>
  <c r="M303" i="2"/>
  <c r="F303" i="4" s="1"/>
  <c r="Q303" i="2"/>
  <c r="J303" i="4" s="1"/>
  <c r="D390" i="4"/>
  <c r="H390" i="3"/>
  <c r="M390" i="2"/>
  <c r="F390" i="4" s="1"/>
  <c r="Q390" i="2"/>
  <c r="J390" i="4" s="1"/>
  <c r="P390" i="2"/>
  <c r="I390" i="4" s="1"/>
  <c r="N390" i="2"/>
  <c r="G390" i="4" s="1"/>
  <c r="L390" i="2"/>
  <c r="E390" i="4" s="1"/>
  <c r="D114" i="4"/>
  <c r="H114" i="3"/>
  <c r="G114" i="4"/>
  <c r="F114" i="4"/>
  <c r="I114" i="4"/>
  <c r="J114" i="4"/>
  <c r="E114" i="4"/>
  <c r="D4" i="4"/>
  <c r="H4" i="3"/>
  <c r="I4" i="4"/>
  <c r="F4" i="4"/>
  <c r="E4" i="4"/>
  <c r="G4" i="4"/>
  <c r="D14" i="4"/>
  <c r="H14" i="3"/>
  <c r="F14" i="4"/>
  <c r="J14" i="4"/>
  <c r="E14" i="4"/>
  <c r="I14" i="4"/>
  <c r="G14" i="4"/>
  <c r="D48" i="4"/>
  <c r="H48" i="3"/>
  <c r="E48" i="4"/>
  <c r="F48" i="4"/>
  <c r="J48" i="4"/>
  <c r="I48" i="4"/>
  <c r="G48" i="4"/>
  <c r="D156" i="4"/>
  <c r="H156" i="3"/>
  <c r="J156" i="4"/>
  <c r="G156" i="4"/>
  <c r="I156" i="4"/>
  <c r="F156" i="4"/>
  <c r="E156" i="4"/>
  <c r="D204" i="4"/>
  <c r="H204" i="3"/>
  <c r="L204" i="2"/>
  <c r="E204" i="4" s="1"/>
  <c r="Q204" i="2"/>
  <c r="J204" i="4" s="1"/>
  <c r="P204" i="2"/>
  <c r="I204" i="4" s="1"/>
  <c r="N204" i="2"/>
  <c r="G204" i="4" s="1"/>
  <c r="M204" i="2"/>
  <c r="F204" i="4" s="1"/>
  <c r="D41" i="4"/>
  <c r="H41" i="3"/>
  <c r="J41" i="4"/>
  <c r="I41" i="4"/>
  <c r="E41" i="4"/>
  <c r="G41" i="4"/>
  <c r="F41" i="4"/>
  <c r="D287" i="4"/>
  <c r="N287" i="2"/>
  <c r="G287" i="4" s="1"/>
  <c r="L287" i="2"/>
  <c r="E287" i="4" s="1"/>
  <c r="H287" i="3"/>
  <c r="P287" i="2"/>
  <c r="I287" i="4" s="1"/>
  <c r="M287" i="2"/>
  <c r="F287" i="4" s="1"/>
  <c r="Q287" i="2"/>
  <c r="J287" i="4" s="1"/>
  <c r="D168" i="4"/>
  <c r="I168" i="4"/>
  <c r="H168" i="3"/>
  <c r="F168" i="4"/>
  <c r="J168" i="4"/>
  <c r="G168" i="4"/>
  <c r="E168" i="4"/>
  <c r="D47" i="4"/>
  <c r="H47" i="3"/>
  <c r="I47" i="4"/>
  <c r="J47" i="4"/>
  <c r="F47" i="4"/>
  <c r="G47" i="4"/>
  <c r="E47" i="4"/>
  <c r="D312" i="4"/>
  <c r="P312" i="2"/>
  <c r="I312" i="4" s="1"/>
  <c r="M312" i="2"/>
  <c r="F312" i="4" s="1"/>
  <c r="H312" i="3"/>
  <c r="L312" i="2"/>
  <c r="E312" i="4" s="1"/>
  <c r="Q312" i="2"/>
  <c r="J312" i="4" s="1"/>
  <c r="N312" i="2"/>
  <c r="G312" i="4" s="1"/>
  <c r="D345" i="4"/>
  <c r="Q345" i="2"/>
  <c r="J345" i="4" s="1"/>
  <c r="N345" i="2"/>
  <c r="G345" i="4" s="1"/>
  <c r="H345" i="3"/>
  <c r="P345" i="2"/>
  <c r="I345" i="4" s="1"/>
  <c r="M345" i="2"/>
  <c r="F345" i="4" s="1"/>
  <c r="L345" i="2"/>
  <c r="E345" i="4" s="1"/>
  <c r="D288" i="4"/>
  <c r="P288" i="2"/>
  <c r="I288" i="4" s="1"/>
  <c r="M288" i="2"/>
  <c r="F288" i="4" s="1"/>
  <c r="H288" i="3"/>
  <c r="N288" i="2"/>
  <c r="G288" i="4" s="1"/>
  <c r="Q288" i="2"/>
  <c r="J288" i="4" s="1"/>
  <c r="L288" i="2"/>
  <c r="E288" i="4" s="1"/>
  <c r="D233" i="4"/>
  <c r="Q233" i="2"/>
  <c r="J233" i="4" s="1"/>
  <c r="N233" i="2"/>
  <c r="G233" i="4" s="1"/>
  <c r="H233" i="3"/>
  <c r="P233" i="2"/>
  <c r="I233" i="4" s="1"/>
  <c r="M233" i="2"/>
  <c r="F233" i="4" s="1"/>
  <c r="L233" i="2"/>
  <c r="E233" i="4" s="1"/>
  <c r="D166" i="4"/>
  <c r="F166" i="4"/>
  <c r="H166" i="3"/>
  <c r="J166" i="4"/>
  <c r="G166" i="4"/>
  <c r="E166" i="4"/>
  <c r="I166" i="4"/>
  <c r="D127" i="4"/>
  <c r="H127" i="3"/>
  <c r="J127" i="4"/>
  <c r="E127" i="4"/>
  <c r="I127" i="4"/>
  <c r="G127" i="4"/>
  <c r="F127" i="4"/>
  <c r="D192" i="4"/>
  <c r="P192" i="2"/>
  <c r="I192" i="4" s="1"/>
  <c r="H192" i="3"/>
  <c r="Q192" i="2"/>
  <c r="J192" i="4" s="1"/>
  <c r="L192" i="2"/>
  <c r="E192" i="4" s="1"/>
  <c r="M192" i="2"/>
  <c r="F192" i="4" s="1"/>
  <c r="N192" i="2"/>
  <c r="G192" i="4" s="1"/>
  <c r="D374" i="4"/>
  <c r="M374" i="2"/>
  <c r="F374" i="4" s="1"/>
  <c r="H374" i="3"/>
  <c r="Q374" i="2"/>
  <c r="J374" i="4" s="1"/>
  <c r="P374" i="2"/>
  <c r="I374" i="4" s="1"/>
  <c r="N374" i="2"/>
  <c r="G374" i="4" s="1"/>
  <c r="L374" i="2"/>
  <c r="E374" i="4" s="1"/>
  <c r="D433" i="4"/>
  <c r="Q433" i="2"/>
  <c r="J433" i="4" s="1"/>
  <c r="N433" i="2"/>
  <c r="G433" i="4" s="1"/>
  <c r="H433" i="3"/>
  <c r="L433" i="2"/>
  <c r="E433" i="4" s="1"/>
  <c r="M433" i="2"/>
  <c r="F433" i="4" s="1"/>
  <c r="P433" i="2"/>
  <c r="I433" i="4" s="1"/>
  <c r="D262" i="4"/>
  <c r="M262" i="2"/>
  <c r="F262" i="4" s="1"/>
  <c r="H262" i="3"/>
  <c r="Q262" i="2"/>
  <c r="J262" i="4" s="1"/>
  <c r="P262" i="2"/>
  <c r="I262" i="4" s="1"/>
  <c r="N262" i="2"/>
  <c r="G262" i="4" s="1"/>
  <c r="L262" i="2"/>
  <c r="E262" i="4" s="1"/>
  <c r="D190" i="4"/>
  <c r="M190" i="2"/>
  <c r="F190" i="4" s="1"/>
  <c r="H190" i="3"/>
  <c r="Q190" i="2"/>
  <c r="J190" i="4" s="1"/>
  <c r="P190" i="2"/>
  <c r="I190" i="4" s="1"/>
  <c r="N190" i="2"/>
  <c r="G190" i="4" s="1"/>
  <c r="L190" i="2"/>
  <c r="E190" i="4" s="1"/>
  <c r="D440" i="4"/>
  <c r="P440" i="2"/>
  <c r="I440" i="4" s="1"/>
  <c r="H440" i="3"/>
  <c r="M440" i="2"/>
  <c r="F440" i="4" s="1"/>
  <c r="L440" i="2"/>
  <c r="E440" i="4" s="1"/>
  <c r="Q440" i="2"/>
  <c r="J440" i="4" s="1"/>
  <c r="N440" i="2"/>
  <c r="G440" i="4" s="1"/>
  <c r="D103" i="4"/>
  <c r="H103" i="3"/>
  <c r="F103" i="4"/>
  <c r="J103" i="4"/>
  <c r="I103" i="4"/>
  <c r="E103" i="4"/>
  <c r="G103" i="4"/>
  <c r="D154" i="4"/>
  <c r="H154" i="3"/>
  <c r="F154" i="4"/>
  <c r="G154" i="4"/>
  <c r="E154" i="4"/>
  <c r="I154" i="4"/>
  <c r="J154" i="4"/>
  <c r="D122" i="4"/>
  <c r="H122" i="3"/>
  <c r="G122" i="4"/>
  <c r="F122" i="4"/>
  <c r="I122" i="4"/>
  <c r="E122" i="4"/>
  <c r="J122" i="4"/>
  <c r="D9" i="4"/>
  <c r="H9" i="3"/>
  <c r="J9" i="4"/>
  <c r="I9" i="4"/>
  <c r="E9" i="4"/>
  <c r="G9" i="4"/>
  <c r="F9" i="4"/>
  <c r="D216" i="4"/>
  <c r="P216" i="2"/>
  <c r="I216" i="4" s="1"/>
  <c r="M216" i="2"/>
  <c r="F216" i="4" s="1"/>
  <c r="H216" i="3"/>
  <c r="L216" i="2"/>
  <c r="E216" i="4" s="1"/>
  <c r="Q216" i="2"/>
  <c r="J216" i="4" s="1"/>
  <c r="N216" i="2"/>
  <c r="G216" i="4" s="1"/>
  <c r="D186" i="4"/>
  <c r="H186" i="3"/>
  <c r="M186" i="2"/>
  <c r="F186" i="4" s="1"/>
  <c r="N186" i="2"/>
  <c r="G186" i="4" s="1"/>
  <c r="L186" i="2"/>
  <c r="E186" i="4" s="1"/>
  <c r="P186" i="2"/>
  <c r="I186" i="4" s="1"/>
  <c r="Q186" i="2"/>
  <c r="J186" i="4" s="1"/>
  <c r="D113" i="4"/>
  <c r="H113" i="3"/>
  <c r="F113" i="4"/>
  <c r="E113" i="4"/>
  <c r="G113" i="4"/>
  <c r="J113" i="4"/>
  <c r="I113" i="4"/>
  <c r="D59" i="4"/>
  <c r="H59" i="3"/>
  <c r="I59" i="4"/>
  <c r="E59" i="4"/>
  <c r="F59" i="4"/>
  <c r="J59" i="4"/>
  <c r="G59" i="4"/>
  <c r="D140" i="4"/>
  <c r="H140" i="3"/>
  <c r="J140" i="4"/>
  <c r="I140" i="4"/>
  <c r="F140" i="4"/>
  <c r="G140" i="4"/>
  <c r="E140" i="4"/>
  <c r="D130" i="4"/>
  <c r="H130" i="3"/>
  <c r="G130" i="4"/>
  <c r="F130" i="4"/>
  <c r="J130" i="4"/>
  <c r="E130" i="4"/>
  <c r="I130" i="4"/>
  <c r="D255" i="4"/>
  <c r="N255" i="2"/>
  <c r="G255" i="4" s="1"/>
  <c r="L255" i="2"/>
  <c r="E255" i="4" s="1"/>
  <c r="H255" i="3"/>
  <c r="P255" i="2"/>
  <c r="I255" i="4" s="1"/>
  <c r="M255" i="2"/>
  <c r="F255" i="4" s="1"/>
  <c r="Q255" i="2"/>
  <c r="J255" i="4" s="1"/>
  <c r="D112" i="4"/>
  <c r="H112" i="3"/>
  <c r="E112" i="4"/>
  <c r="I112" i="4"/>
  <c r="F112" i="4"/>
  <c r="G112" i="4"/>
  <c r="J112" i="4"/>
  <c r="D37" i="4"/>
  <c r="H37" i="3"/>
  <c r="E37" i="4"/>
  <c r="J37" i="4"/>
  <c r="F37" i="4"/>
  <c r="I37" i="4"/>
  <c r="G37" i="4"/>
  <c r="D207" i="4"/>
  <c r="N207" i="2"/>
  <c r="G207" i="4" s="1"/>
  <c r="H207" i="3"/>
  <c r="Q207" i="2"/>
  <c r="J207" i="4" s="1"/>
  <c r="M207" i="2"/>
  <c r="F207" i="4" s="1"/>
  <c r="P207" i="2"/>
  <c r="I207" i="4" s="1"/>
  <c r="L207" i="2"/>
  <c r="E207" i="4" s="1"/>
  <c r="D28" i="4"/>
  <c r="H28" i="3"/>
  <c r="J28" i="4"/>
  <c r="F28" i="4"/>
  <c r="E28" i="4"/>
  <c r="I28" i="4"/>
  <c r="G28" i="4"/>
  <c r="D82" i="4"/>
  <c r="H82" i="3"/>
  <c r="G82" i="4"/>
  <c r="E82" i="4"/>
  <c r="J82" i="4"/>
  <c r="F82" i="4"/>
  <c r="I82" i="4"/>
  <c r="D353" i="4"/>
  <c r="Q353" i="2"/>
  <c r="J353" i="4" s="1"/>
  <c r="N353" i="2"/>
  <c r="G353" i="4" s="1"/>
  <c r="H353" i="3"/>
  <c r="P353" i="2"/>
  <c r="I353" i="4" s="1"/>
  <c r="L353" i="2"/>
  <c r="E353" i="4" s="1"/>
  <c r="M353" i="2"/>
  <c r="F353" i="4" s="1"/>
  <c r="D340" i="4"/>
  <c r="H340" i="3"/>
  <c r="Q340" i="2"/>
  <c r="J340" i="4" s="1"/>
  <c r="P340" i="2"/>
  <c r="I340" i="4" s="1"/>
  <c r="N340" i="2"/>
  <c r="G340" i="4" s="1"/>
  <c r="M340" i="2"/>
  <c r="F340" i="4" s="1"/>
  <c r="L340" i="2"/>
  <c r="E340" i="4" s="1"/>
  <c r="D305" i="4"/>
  <c r="Q305" i="2"/>
  <c r="J305" i="4" s="1"/>
  <c r="N305" i="2"/>
  <c r="G305" i="4" s="1"/>
  <c r="H305" i="3"/>
  <c r="P305" i="2"/>
  <c r="I305" i="4" s="1"/>
  <c r="M305" i="2"/>
  <c r="F305" i="4" s="1"/>
  <c r="L305" i="2"/>
  <c r="E305" i="4" s="1"/>
  <c r="D286" i="4"/>
  <c r="M286" i="2"/>
  <c r="F286" i="4" s="1"/>
  <c r="H286" i="3"/>
  <c r="P286" i="2"/>
  <c r="I286" i="4" s="1"/>
  <c r="L286" i="2"/>
  <c r="E286" i="4" s="1"/>
  <c r="Q286" i="2"/>
  <c r="J286" i="4" s="1"/>
  <c r="N286" i="2"/>
  <c r="G286" i="4" s="1"/>
  <c r="D376" i="4"/>
  <c r="P376" i="2"/>
  <c r="I376" i="4" s="1"/>
  <c r="M376" i="2"/>
  <c r="F376" i="4" s="1"/>
  <c r="H376" i="3"/>
  <c r="L376" i="2"/>
  <c r="E376" i="4" s="1"/>
  <c r="Q376" i="2"/>
  <c r="J376" i="4" s="1"/>
  <c r="N376" i="2"/>
  <c r="G376" i="4" s="1"/>
  <c r="D328" i="4"/>
  <c r="P328" i="2"/>
  <c r="I328" i="4" s="1"/>
  <c r="M328" i="2"/>
  <c r="F328" i="4" s="1"/>
  <c r="H328" i="3"/>
  <c r="L328" i="2"/>
  <c r="E328" i="4" s="1"/>
  <c r="Q328" i="2"/>
  <c r="J328" i="4" s="1"/>
  <c r="N328" i="2"/>
  <c r="G328" i="4" s="1"/>
  <c r="D456" i="4"/>
  <c r="P456" i="2"/>
  <c r="I456" i="4" s="1"/>
  <c r="H456" i="3"/>
  <c r="M456" i="2"/>
  <c r="F456" i="4" s="1"/>
  <c r="L456" i="2"/>
  <c r="E456" i="4" s="1"/>
  <c r="Q456" i="2"/>
  <c r="J456" i="4" s="1"/>
  <c r="N456" i="2"/>
  <c r="G456" i="4" s="1"/>
  <c r="D343" i="4"/>
  <c r="N343" i="2"/>
  <c r="G343" i="4" s="1"/>
  <c r="L343" i="2"/>
  <c r="E343" i="4" s="1"/>
  <c r="P343" i="2"/>
  <c r="I343" i="4" s="1"/>
  <c r="H343" i="3"/>
  <c r="Q343" i="2"/>
  <c r="J343" i="4" s="1"/>
  <c r="M343" i="2"/>
  <c r="F343" i="4" s="1"/>
  <c r="D281" i="4"/>
  <c r="Q281" i="2"/>
  <c r="J281" i="4" s="1"/>
  <c r="N281" i="2"/>
  <c r="G281" i="4" s="1"/>
  <c r="H281" i="3"/>
  <c r="P281" i="2"/>
  <c r="I281" i="4" s="1"/>
  <c r="M281" i="2"/>
  <c r="F281" i="4" s="1"/>
  <c r="L281" i="2"/>
  <c r="E281" i="4" s="1"/>
  <c r="D231" i="4"/>
  <c r="N231" i="2"/>
  <c r="G231" i="4" s="1"/>
  <c r="L231" i="2"/>
  <c r="E231" i="4" s="1"/>
  <c r="H231" i="3"/>
  <c r="P231" i="2"/>
  <c r="I231" i="4" s="1"/>
  <c r="Q231" i="2"/>
  <c r="J231" i="4" s="1"/>
  <c r="M231" i="2"/>
  <c r="F231" i="4" s="1"/>
  <c r="D185" i="4"/>
  <c r="Q185" i="2"/>
  <c r="J185" i="4" s="1"/>
  <c r="H185" i="3"/>
  <c r="P185" i="2"/>
  <c r="I185" i="4" s="1"/>
  <c r="N185" i="2"/>
  <c r="G185" i="4" s="1"/>
  <c r="M185" i="2"/>
  <c r="F185" i="4" s="1"/>
  <c r="L185" i="2"/>
  <c r="E185" i="4" s="1"/>
  <c r="D119" i="4"/>
  <c r="H119" i="3"/>
  <c r="E119" i="4"/>
  <c r="J119" i="4"/>
  <c r="G119" i="4"/>
  <c r="F119" i="4"/>
  <c r="I119" i="4"/>
  <c r="D465" i="4"/>
  <c r="Q465" i="2"/>
  <c r="J465" i="4" s="1"/>
  <c r="N465" i="2"/>
  <c r="G465" i="4" s="1"/>
  <c r="H465" i="3"/>
  <c r="P465" i="2"/>
  <c r="I465" i="4" s="1"/>
  <c r="M465" i="2"/>
  <c r="F465" i="4" s="1"/>
  <c r="L465" i="2"/>
  <c r="E465" i="4" s="1"/>
  <c r="D189" i="4"/>
  <c r="L189" i="2"/>
  <c r="E189" i="4" s="1"/>
  <c r="H189" i="3"/>
  <c r="M189" i="2"/>
  <c r="F189" i="4" s="1"/>
  <c r="P189" i="2"/>
  <c r="I189" i="4" s="1"/>
  <c r="Q189" i="2"/>
  <c r="J189" i="4" s="1"/>
  <c r="N189" i="2"/>
  <c r="G189" i="4" s="1"/>
  <c r="D488" i="4"/>
  <c r="P488" i="2"/>
  <c r="I488" i="4" s="1"/>
  <c r="H488" i="3"/>
  <c r="M488" i="2"/>
  <c r="F488" i="4" s="1"/>
  <c r="L488" i="2"/>
  <c r="E488" i="4" s="1"/>
  <c r="Q488" i="2"/>
  <c r="J488" i="4" s="1"/>
  <c r="N488" i="2"/>
  <c r="G488" i="4" s="1"/>
  <c r="D284" i="4"/>
  <c r="H284" i="3"/>
  <c r="P284" i="2"/>
  <c r="I284" i="4" s="1"/>
  <c r="N284" i="2"/>
  <c r="G284" i="4" s="1"/>
  <c r="M284" i="2"/>
  <c r="F284" i="4" s="1"/>
  <c r="L284" i="2"/>
  <c r="E284" i="4" s="1"/>
  <c r="Q284" i="2"/>
  <c r="J284" i="4" s="1"/>
  <c r="D348" i="4"/>
  <c r="H348" i="3"/>
  <c r="P348" i="2"/>
  <c r="I348" i="4" s="1"/>
  <c r="N348" i="2"/>
  <c r="G348" i="4" s="1"/>
  <c r="M348" i="2"/>
  <c r="F348" i="4" s="1"/>
  <c r="Q348" i="2"/>
  <c r="J348" i="4" s="1"/>
  <c r="L348" i="2"/>
  <c r="E348" i="4" s="1"/>
  <c r="D470" i="4"/>
  <c r="H470" i="3"/>
  <c r="M470" i="2"/>
  <c r="F470" i="4" s="1"/>
  <c r="Q470" i="2"/>
  <c r="J470" i="4" s="1"/>
  <c r="P470" i="2"/>
  <c r="I470" i="4" s="1"/>
  <c r="N470" i="2"/>
  <c r="G470" i="4" s="1"/>
  <c r="L470" i="2"/>
  <c r="E470" i="4" s="1"/>
  <c r="D401" i="4"/>
  <c r="Q401" i="2"/>
  <c r="J401" i="4" s="1"/>
  <c r="N401" i="2"/>
  <c r="G401" i="4" s="1"/>
  <c r="H401" i="3"/>
  <c r="P401" i="2"/>
  <c r="I401" i="4" s="1"/>
  <c r="M401" i="2"/>
  <c r="F401" i="4" s="1"/>
  <c r="L401" i="2"/>
  <c r="E401" i="4" s="1"/>
  <c r="D368" i="4"/>
  <c r="P368" i="2"/>
  <c r="I368" i="4" s="1"/>
  <c r="M368" i="2"/>
  <c r="F368" i="4" s="1"/>
  <c r="H368" i="3"/>
  <c r="Q368" i="2"/>
  <c r="J368" i="4" s="1"/>
  <c r="N368" i="2"/>
  <c r="G368" i="4" s="1"/>
  <c r="L368" i="2"/>
  <c r="E368" i="4" s="1"/>
  <c r="D95" i="4"/>
  <c r="H95" i="3"/>
  <c r="I95" i="4"/>
  <c r="F95" i="4"/>
  <c r="E95" i="4"/>
  <c r="J95" i="4"/>
  <c r="G95" i="4"/>
  <c r="D370" i="4"/>
  <c r="P370" i="2"/>
  <c r="I370" i="4" s="1"/>
  <c r="H370" i="3"/>
  <c r="N370" i="2"/>
  <c r="G370" i="4" s="1"/>
  <c r="M370" i="2"/>
  <c r="F370" i="4" s="1"/>
  <c r="L370" i="2"/>
  <c r="E370" i="4" s="1"/>
  <c r="Q370" i="2"/>
  <c r="J370" i="4" s="1"/>
  <c r="D336" i="4"/>
  <c r="P336" i="2"/>
  <c r="I336" i="4" s="1"/>
  <c r="M336" i="2"/>
  <c r="F336" i="4" s="1"/>
  <c r="H336" i="3"/>
  <c r="Q336" i="2"/>
  <c r="J336" i="4" s="1"/>
  <c r="N336" i="2"/>
  <c r="G336" i="4" s="1"/>
  <c r="L336" i="2"/>
  <c r="E336" i="4" s="1"/>
  <c r="D217" i="4"/>
  <c r="Q217" i="2"/>
  <c r="J217" i="4" s="1"/>
  <c r="N217" i="2"/>
  <c r="G217" i="4" s="1"/>
  <c r="H217" i="3"/>
  <c r="M217" i="2"/>
  <c r="F217" i="4" s="1"/>
  <c r="L217" i="2"/>
  <c r="E217" i="4" s="1"/>
  <c r="P217" i="2"/>
  <c r="I217" i="4" s="1"/>
  <c r="D164" i="4"/>
  <c r="H164" i="3"/>
  <c r="G164" i="4"/>
  <c r="I164" i="4"/>
  <c r="F164" i="4"/>
  <c r="E164" i="4"/>
  <c r="J164" i="4"/>
  <c r="D55" i="4"/>
  <c r="H55" i="3"/>
  <c r="F55" i="4"/>
  <c r="I55" i="4"/>
  <c r="J55" i="4"/>
  <c r="G55" i="4"/>
  <c r="E55" i="4"/>
  <c r="D5" i="4"/>
  <c r="H5" i="3"/>
  <c r="E5" i="4"/>
  <c r="J5" i="4"/>
  <c r="F5" i="4"/>
  <c r="I5" i="4"/>
  <c r="G5" i="4"/>
  <c r="D109" i="4"/>
  <c r="H109" i="3"/>
  <c r="J109" i="4"/>
  <c r="E109" i="4"/>
  <c r="G109" i="4"/>
  <c r="I109" i="4"/>
  <c r="F109" i="4"/>
  <c r="D44" i="4"/>
  <c r="H44" i="3"/>
  <c r="E44" i="4"/>
  <c r="J44" i="4"/>
  <c r="I44" i="4"/>
  <c r="G44" i="4"/>
  <c r="F44" i="4"/>
  <c r="D180" i="4"/>
  <c r="H180" i="3"/>
  <c r="G180" i="4"/>
  <c r="F180" i="4"/>
  <c r="E180" i="4"/>
  <c r="I180" i="4"/>
  <c r="J180" i="4"/>
  <c r="D188" i="4"/>
  <c r="H188" i="3"/>
  <c r="Q188" i="2"/>
  <c r="J188" i="4" s="1"/>
  <c r="L188" i="2"/>
  <c r="E188" i="4" s="1"/>
  <c r="N188" i="2"/>
  <c r="G188" i="4" s="1"/>
  <c r="P188" i="2"/>
  <c r="I188" i="4" s="1"/>
  <c r="M188" i="2"/>
  <c r="F188" i="4" s="1"/>
  <c r="D91" i="4"/>
  <c r="H91" i="3"/>
  <c r="I91" i="4"/>
  <c r="E91" i="4"/>
  <c r="G91" i="4"/>
  <c r="F91" i="4"/>
  <c r="J91" i="4"/>
  <c r="D324" i="4"/>
  <c r="H324" i="3"/>
  <c r="Q324" i="2"/>
  <c r="J324" i="4" s="1"/>
  <c r="P324" i="2"/>
  <c r="I324" i="4" s="1"/>
  <c r="N324" i="2"/>
  <c r="G324" i="4" s="1"/>
  <c r="M324" i="2"/>
  <c r="F324" i="4" s="1"/>
  <c r="L324" i="2"/>
  <c r="E324" i="4" s="1"/>
  <c r="D270" i="4"/>
  <c r="M270" i="2"/>
  <c r="F270" i="4" s="1"/>
  <c r="H270" i="3"/>
  <c r="P270" i="2"/>
  <c r="I270" i="4" s="1"/>
  <c r="L270" i="2"/>
  <c r="E270" i="4" s="1"/>
  <c r="N270" i="2"/>
  <c r="G270" i="4" s="1"/>
  <c r="Q270" i="2"/>
  <c r="J270" i="4" s="1"/>
  <c r="D396" i="4"/>
  <c r="H396" i="3"/>
  <c r="P396" i="2"/>
  <c r="I396" i="4" s="1"/>
  <c r="L396" i="2"/>
  <c r="E396" i="4" s="1"/>
  <c r="Q396" i="2"/>
  <c r="J396" i="4" s="1"/>
  <c r="M396" i="2"/>
  <c r="F396" i="4" s="1"/>
  <c r="N396" i="2"/>
  <c r="G396" i="4" s="1"/>
  <c r="D385" i="4"/>
  <c r="Q385" i="2"/>
  <c r="J385" i="4" s="1"/>
  <c r="N385" i="2"/>
  <c r="G385" i="4" s="1"/>
  <c r="H385" i="3"/>
  <c r="P385" i="2"/>
  <c r="I385" i="4" s="1"/>
  <c r="L385" i="2"/>
  <c r="E385" i="4" s="1"/>
  <c r="M385" i="2"/>
  <c r="F385" i="4" s="1"/>
  <c r="D350" i="4"/>
  <c r="M350" i="2"/>
  <c r="F350" i="4" s="1"/>
  <c r="H350" i="3"/>
  <c r="Q350" i="2"/>
  <c r="J350" i="4" s="1"/>
  <c r="P350" i="2"/>
  <c r="I350" i="4" s="1"/>
  <c r="N350" i="2"/>
  <c r="G350" i="4" s="1"/>
  <c r="L350" i="2"/>
  <c r="E350" i="4" s="1"/>
  <c r="D321" i="4"/>
  <c r="Q321" i="2"/>
  <c r="J321" i="4" s="1"/>
  <c r="N321" i="2"/>
  <c r="G321" i="4" s="1"/>
  <c r="H321" i="3"/>
  <c r="P321" i="2"/>
  <c r="I321" i="4" s="1"/>
  <c r="L321" i="2"/>
  <c r="E321" i="4" s="1"/>
  <c r="M321" i="2"/>
  <c r="F321" i="4" s="1"/>
  <c r="D302" i="4"/>
  <c r="M302" i="2"/>
  <c r="F302" i="4" s="1"/>
  <c r="H302" i="3"/>
  <c r="P302" i="2"/>
  <c r="I302" i="4" s="1"/>
  <c r="L302" i="2"/>
  <c r="E302" i="4" s="1"/>
  <c r="Q302" i="2"/>
  <c r="J302" i="4" s="1"/>
  <c r="N302" i="2"/>
  <c r="G302" i="4" s="1"/>
  <c r="D228" i="4"/>
  <c r="H228" i="3"/>
  <c r="Q228" i="2"/>
  <c r="J228" i="4" s="1"/>
  <c r="P228" i="2"/>
  <c r="I228" i="4" s="1"/>
  <c r="M228" i="2"/>
  <c r="F228" i="4" s="1"/>
  <c r="L228" i="2"/>
  <c r="E228" i="4" s="1"/>
  <c r="N228" i="2"/>
  <c r="G228" i="4" s="1"/>
  <c r="D360" i="4"/>
  <c r="P360" i="2"/>
  <c r="I360" i="4" s="1"/>
  <c r="M360" i="2"/>
  <c r="F360" i="4" s="1"/>
  <c r="L360" i="2"/>
  <c r="E360" i="4" s="1"/>
  <c r="Q360" i="2"/>
  <c r="J360" i="4" s="1"/>
  <c r="N360" i="2"/>
  <c r="G360" i="4" s="1"/>
  <c r="H360" i="3"/>
  <c r="D344" i="4"/>
  <c r="P344" i="2"/>
  <c r="I344" i="4" s="1"/>
  <c r="M344" i="2"/>
  <c r="F344" i="4" s="1"/>
  <c r="L344" i="2"/>
  <c r="E344" i="4" s="1"/>
  <c r="H344" i="3"/>
  <c r="Q344" i="2"/>
  <c r="J344" i="4" s="1"/>
  <c r="N344" i="2"/>
  <c r="G344" i="4" s="1"/>
  <c r="D418" i="4"/>
  <c r="P418" i="2"/>
  <c r="I418" i="4" s="1"/>
  <c r="H418" i="3"/>
  <c r="N418" i="2"/>
  <c r="G418" i="4" s="1"/>
  <c r="M418" i="2"/>
  <c r="F418" i="4" s="1"/>
  <c r="L418" i="2"/>
  <c r="E418" i="4" s="1"/>
  <c r="Q418" i="2"/>
  <c r="J418" i="4" s="1"/>
  <c r="D454" i="4"/>
  <c r="H454" i="3"/>
  <c r="M454" i="2"/>
  <c r="F454" i="4" s="1"/>
  <c r="Q454" i="2"/>
  <c r="J454" i="4" s="1"/>
  <c r="P454" i="2"/>
  <c r="I454" i="4" s="1"/>
  <c r="N454" i="2"/>
  <c r="G454" i="4" s="1"/>
  <c r="L454" i="2"/>
  <c r="E454" i="4" s="1"/>
  <c r="D377" i="4"/>
  <c r="Q377" i="2"/>
  <c r="J377" i="4" s="1"/>
  <c r="N377" i="2"/>
  <c r="G377" i="4" s="1"/>
  <c r="H377" i="3"/>
  <c r="P377" i="2"/>
  <c r="I377" i="4" s="1"/>
  <c r="M377" i="2"/>
  <c r="F377" i="4" s="1"/>
  <c r="L377" i="2"/>
  <c r="E377" i="4" s="1"/>
  <c r="D279" i="4"/>
  <c r="N279" i="2"/>
  <c r="G279" i="4" s="1"/>
  <c r="L279" i="2"/>
  <c r="E279" i="4" s="1"/>
  <c r="H279" i="3"/>
  <c r="P279" i="2"/>
  <c r="I279" i="4" s="1"/>
  <c r="Q279" i="2"/>
  <c r="J279" i="4" s="1"/>
  <c r="M279" i="2"/>
  <c r="F279" i="4" s="1"/>
  <c r="D256" i="4"/>
  <c r="P256" i="2"/>
  <c r="I256" i="4" s="1"/>
  <c r="M256" i="2"/>
  <c r="F256" i="4" s="1"/>
  <c r="H256" i="3"/>
  <c r="N256" i="2"/>
  <c r="G256" i="4" s="1"/>
  <c r="Q256" i="2"/>
  <c r="J256" i="4" s="1"/>
  <c r="L256" i="2"/>
  <c r="E256" i="4" s="1"/>
  <c r="D205" i="4"/>
  <c r="L205" i="2"/>
  <c r="E205" i="4" s="1"/>
  <c r="H205" i="3"/>
  <c r="N205" i="2"/>
  <c r="G205" i="4" s="1"/>
  <c r="Q205" i="2"/>
  <c r="J205" i="4" s="1"/>
  <c r="M205" i="2"/>
  <c r="F205" i="4" s="1"/>
  <c r="P205" i="2"/>
  <c r="I205" i="4" s="1"/>
  <c r="D111" i="4"/>
  <c r="H111" i="3"/>
  <c r="J111" i="4"/>
  <c r="E111" i="4"/>
  <c r="G111" i="4"/>
  <c r="I111" i="4"/>
  <c r="F111" i="4"/>
  <c r="D408" i="4"/>
  <c r="P408" i="2"/>
  <c r="I408" i="4" s="1"/>
  <c r="H408" i="3"/>
  <c r="M408" i="2"/>
  <c r="F408" i="4" s="1"/>
  <c r="L408" i="2"/>
  <c r="E408" i="4" s="1"/>
  <c r="Q408" i="2"/>
  <c r="J408" i="4" s="1"/>
  <c r="N408" i="2"/>
  <c r="G408" i="4" s="1"/>
  <c r="D176" i="4"/>
  <c r="I176" i="4"/>
  <c r="H176" i="3"/>
  <c r="E176" i="4"/>
  <c r="G176" i="4"/>
  <c r="J176" i="4"/>
  <c r="F176" i="4"/>
  <c r="D486" i="4"/>
  <c r="H486" i="3"/>
  <c r="M486" i="2"/>
  <c r="F486" i="4" s="1"/>
  <c r="Q486" i="2"/>
  <c r="J486" i="4" s="1"/>
  <c r="P486" i="2"/>
  <c r="I486" i="4" s="1"/>
  <c r="N486" i="2"/>
  <c r="G486" i="4" s="1"/>
  <c r="L486" i="2"/>
  <c r="E486" i="4" s="1"/>
  <c r="D236" i="4"/>
  <c r="H236" i="3"/>
  <c r="P236" i="2"/>
  <c r="I236" i="4" s="1"/>
  <c r="N236" i="2"/>
  <c r="G236" i="4" s="1"/>
  <c r="M236" i="2"/>
  <c r="F236" i="4" s="1"/>
  <c r="L236" i="2"/>
  <c r="E236" i="4" s="1"/>
  <c r="Q236" i="2"/>
  <c r="J236" i="4" s="1"/>
  <c r="D326" i="4"/>
  <c r="M326" i="2"/>
  <c r="F326" i="4" s="1"/>
  <c r="H326" i="3"/>
  <c r="Q326" i="2"/>
  <c r="J326" i="4" s="1"/>
  <c r="P326" i="2"/>
  <c r="I326" i="4" s="1"/>
  <c r="N326" i="2"/>
  <c r="G326" i="4" s="1"/>
  <c r="L326" i="2"/>
  <c r="E326" i="4" s="1"/>
  <c r="D351" i="4"/>
  <c r="N351" i="2"/>
  <c r="G351" i="4" s="1"/>
  <c r="L351" i="2"/>
  <c r="E351" i="4" s="1"/>
  <c r="H351" i="3"/>
  <c r="P351" i="2"/>
  <c r="I351" i="4" s="1"/>
  <c r="M351" i="2"/>
  <c r="F351" i="4" s="1"/>
  <c r="Q351" i="2"/>
  <c r="J351" i="4" s="1"/>
  <c r="D63" i="4"/>
  <c r="H63" i="3"/>
  <c r="G63" i="4"/>
  <c r="F63" i="4"/>
  <c r="E63" i="4"/>
  <c r="J63" i="4"/>
  <c r="I63" i="4"/>
  <c r="D20" i="4"/>
  <c r="H20" i="3"/>
  <c r="G20" i="4"/>
  <c r="J20" i="4"/>
  <c r="I20" i="4"/>
  <c r="F20" i="4"/>
  <c r="E20" i="4"/>
  <c r="D183" i="4"/>
  <c r="G183" i="4"/>
  <c r="H183" i="3"/>
  <c r="J183" i="4"/>
  <c r="F183" i="4"/>
  <c r="E183" i="4"/>
  <c r="I183" i="4"/>
  <c r="D138" i="4"/>
  <c r="H138" i="3"/>
  <c r="G138" i="4"/>
  <c r="F138" i="4"/>
  <c r="I138" i="4"/>
  <c r="J138" i="4"/>
  <c r="E138" i="4"/>
  <c r="D150" i="4"/>
  <c r="F150" i="4"/>
  <c r="H150" i="3"/>
  <c r="G150" i="4"/>
  <c r="E150" i="4"/>
  <c r="I150" i="4"/>
  <c r="J150" i="4"/>
  <c r="D172" i="4"/>
  <c r="H172" i="3"/>
  <c r="E172" i="4"/>
  <c r="J172" i="4"/>
  <c r="F172" i="4"/>
  <c r="I172" i="4"/>
  <c r="G172" i="4"/>
  <c r="D71" i="4"/>
  <c r="H71" i="3"/>
  <c r="J71" i="4"/>
  <c r="I71" i="4"/>
  <c r="G71" i="4"/>
  <c r="E71" i="4"/>
  <c r="F71" i="4"/>
  <c r="D128" i="4"/>
  <c r="H128" i="3"/>
  <c r="E128" i="4"/>
  <c r="I128" i="4"/>
  <c r="F128" i="4"/>
  <c r="G128" i="4"/>
  <c r="J128" i="4"/>
  <c r="D423" i="4"/>
  <c r="N423" i="2"/>
  <c r="G423" i="4" s="1"/>
  <c r="H423" i="3"/>
  <c r="L423" i="2"/>
  <c r="E423" i="4" s="1"/>
  <c r="Q423" i="2"/>
  <c r="J423" i="4" s="1"/>
  <c r="P423" i="2"/>
  <c r="I423" i="4" s="1"/>
  <c r="M423" i="2"/>
  <c r="F423" i="4" s="1"/>
  <c r="D484" i="4"/>
  <c r="H484" i="3"/>
  <c r="Q484" i="2"/>
  <c r="J484" i="4" s="1"/>
  <c r="P484" i="2"/>
  <c r="I484" i="4" s="1"/>
  <c r="N484" i="2"/>
  <c r="G484" i="4" s="1"/>
  <c r="M484" i="2"/>
  <c r="F484" i="4" s="1"/>
  <c r="L484" i="2"/>
  <c r="E484" i="4" s="1"/>
  <c r="D468" i="4"/>
  <c r="H468" i="3"/>
  <c r="L468" i="2"/>
  <c r="E468" i="4" s="1"/>
  <c r="Q468" i="2"/>
  <c r="J468" i="4" s="1"/>
  <c r="P468" i="2"/>
  <c r="I468" i="4" s="1"/>
  <c r="M468" i="2"/>
  <c r="F468" i="4" s="1"/>
  <c r="N468" i="2"/>
  <c r="G468" i="4" s="1"/>
  <c r="D452" i="4"/>
  <c r="H452" i="3"/>
  <c r="P452" i="2"/>
  <c r="I452" i="4" s="1"/>
  <c r="N452" i="2"/>
  <c r="G452" i="4" s="1"/>
  <c r="M452" i="2"/>
  <c r="F452" i="4" s="1"/>
  <c r="L452" i="2"/>
  <c r="E452" i="4" s="1"/>
  <c r="Q452" i="2"/>
  <c r="J452" i="4" s="1"/>
  <c r="D436" i="4"/>
  <c r="H436" i="3"/>
  <c r="Q436" i="2"/>
  <c r="J436" i="4" s="1"/>
  <c r="P436" i="2"/>
  <c r="I436" i="4" s="1"/>
  <c r="N436" i="2"/>
  <c r="G436" i="4" s="1"/>
  <c r="M436" i="2"/>
  <c r="F436" i="4" s="1"/>
  <c r="L436" i="2"/>
  <c r="E436" i="4" s="1"/>
  <c r="D420" i="4"/>
  <c r="H420" i="3"/>
  <c r="M420" i="2"/>
  <c r="F420" i="4" s="1"/>
  <c r="Q420" i="2"/>
  <c r="J420" i="4" s="1"/>
  <c r="N420" i="2"/>
  <c r="G420" i="4" s="1"/>
  <c r="P420" i="2"/>
  <c r="I420" i="4" s="1"/>
  <c r="L420" i="2"/>
  <c r="E420" i="4" s="1"/>
  <c r="D404" i="4"/>
  <c r="H404" i="3"/>
  <c r="Q404" i="2"/>
  <c r="J404" i="4" s="1"/>
  <c r="N404" i="2"/>
  <c r="G404" i="4" s="1"/>
  <c r="M404" i="2"/>
  <c r="F404" i="4" s="1"/>
  <c r="L404" i="2"/>
  <c r="E404" i="4" s="1"/>
  <c r="P404" i="2"/>
  <c r="I404" i="4" s="1"/>
  <c r="D388" i="4"/>
  <c r="H388" i="3"/>
  <c r="Q388" i="2"/>
  <c r="J388" i="4" s="1"/>
  <c r="P388" i="2"/>
  <c r="I388" i="4" s="1"/>
  <c r="N388" i="2"/>
  <c r="G388" i="4" s="1"/>
  <c r="M388" i="2"/>
  <c r="F388" i="4" s="1"/>
  <c r="L388" i="2"/>
  <c r="E388" i="4" s="1"/>
  <c r="Q249" i="2"/>
  <c r="J249" i="4" s="1"/>
  <c r="N249" i="2"/>
  <c r="G249" i="4" s="1"/>
  <c r="D249" i="4"/>
  <c r="H249" i="3"/>
  <c r="P249" i="2"/>
  <c r="I249" i="4" s="1"/>
  <c r="M249" i="2"/>
  <c r="F249" i="4" s="1"/>
  <c r="L249" i="2"/>
  <c r="E249" i="4" s="1"/>
  <c r="D220" i="4"/>
  <c r="H220" i="3"/>
  <c r="P220" i="2"/>
  <c r="I220" i="4" s="1"/>
  <c r="N220" i="2"/>
  <c r="G220" i="4" s="1"/>
  <c r="M220" i="2"/>
  <c r="F220" i="4" s="1"/>
  <c r="L220" i="2"/>
  <c r="E220" i="4" s="1"/>
  <c r="Q220" i="2"/>
  <c r="J220" i="4" s="1"/>
  <c r="D367" i="4"/>
  <c r="N367" i="2"/>
  <c r="G367" i="4" s="1"/>
  <c r="L367" i="2"/>
  <c r="E367" i="4" s="1"/>
  <c r="P367" i="2"/>
  <c r="I367" i="4" s="1"/>
  <c r="M367" i="2"/>
  <c r="F367" i="4" s="1"/>
  <c r="Q367" i="2"/>
  <c r="J367" i="4" s="1"/>
  <c r="H367" i="3"/>
  <c r="D294" i="4"/>
  <c r="M294" i="2"/>
  <c r="F294" i="4" s="1"/>
  <c r="H294" i="3"/>
  <c r="Q294" i="2"/>
  <c r="J294" i="4" s="1"/>
  <c r="P294" i="2"/>
  <c r="I294" i="4" s="1"/>
  <c r="N294" i="2"/>
  <c r="G294" i="4" s="1"/>
  <c r="L294" i="2"/>
  <c r="E294" i="4" s="1"/>
  <c r="D319" i="4"/>
  <c r="N319" i="2"/>
  <c r="G319" i="4" s="1"/>
  <c r="L319" i="2"/>
  <c r="E319" i="4" s="1"/>
  <c r="H319" i="3"/>
  <c r="P319" i="2"/>
  <c r="I319" i="4" s="1"/>
  <c r="M319" i="2"/>
  <c r="F319" i="4" s="1"/>
  <c r="Q319" i="2"/>
  <c r="J319" i="4" s="1"/>
  <c r="D416" i="4"/>
  <c r="P416" i="2"/>
  <c r="I416" i="4" s="1"/>
  <c r="H416" i="3"/>
  <c r="M416" i="2"/>
  <c r="F416" i="4" s="1"/>
  <c r="Q416" i="2"/>
  <c r="J416" i="4" s="1"/>
  <c r="N416" i="2"/>
  <c r="G416" i="4" s="1"/>
  <c r="L416" i="2"/>
  <c r="E416" i="4" s="1"/>
  <c r="D120" i="4"/>
  <c r="H120" i="3"/>
  <c r="E120" i="4"/>
  <c r="I120" i="4"/>
  <c r="J120" i="4"/>
  <c r="G120" i="4"/>
  <c r="F120" i="4"/>
  <c r="D73" i="4"/>
  <c r="H73" i="3"/>
  <c r="F73" i="4"/>
  <c r="E73" i="4"/>
  <c r="G73" i="4"/>
  <c r="J73" i="4"/>
  <c r="I73" i="4"/>
  <c r="D12" i="4"/>
  <c r="H12" i="3"/>
  <c r="F12" i="4"/>
  <c r="E12" i="4"/>
  <c r="J12" i="4"/>
  <c r="I12" i="4"/>
  <c r="G12" i="4"/>
  <c r="D175" i="4"/>
  <c r="G175" i="4"/>
  <c r="H175" i="3"/>
  <c r="J175" i="4"/>
  <c r="F175" i="4"/>
  <c r="I175" i="4"/>
  <c r="E175" i="4"/>
  <c r="D264" i="4"/>
  <c r="P264" i="2"/>
  <c r="I264" i="4" s="1"/>
  <c r="M264" i="2"/>
  <c r="F264" i="4" s="1"/>
  <c r="H264" i="3"/>
  <c r="L264" i="2"/>
  <c r="E264" i="4" s="1"/>
  <c r="Q264" i="2"/>
  <c r="J264" i="4" s="1"/>
  <c r="N264" i="2"/>
  <c r="G264" i="4" s="1"/>
  <c r="J4" i="4" l="1"/>
  <c r="F6" i="5"/>
  <c r="D4" i="5"/>
  <c r="B6" i="5"/>
  <c r="G2" i="3"/>
  <c r="C2" i="4"/>
</calcChain>
</file>

<file path=xl/sharedStrings.xml><?xml version="1.0" encoding="utf-8"?>
<sst xmlns="http://schemas.openxmlformats.org/spreadsheetml/2006/main" count="1726" uniqueCount="817">
  <si>
    <t>SEMBAKO NUSANTARA — MASTER PRICE SYSTEM</t>
  </si>
  <si>
    <t>Tujuan</t>
  </si>
  <si>
    <t>Satu daftar produk dipakai untuk toko kita dan seluruh kompetitor. Anda hanya perlu mengisi harga kompetitor.</t>
  </si>
  <si>
    <t>Langkah 1</t>
  </si>
  <si>
    <t>Tambahkan, edit, atau hapus produk di sheet 01 Product Master sesuai kebutuhan toko.</t>
  </si>
  <si>
    <t>Langkah 2</t>
  </si>
  <si>
    <t>Langkah 3</t>
  </si>
  <si>
    <t>Kolom Harga Rata-rata otomatis menghitung rata-rata hanya dari harga kompetitor yang terisi.</t>
  </si>
  <si>
    <t>Langkah 4</t>
  </si>
  <si>
    <t>Harga Jual Sembako otomatis mengikuti rata-rata kompetitor dan dibulatkan ke ¥10.</t>
  </si>
  <si>
    <t>Langkah 5</t>
  </si>
  <si>
    <t>Masukkan HPP Landed untuk melihat margin aktual.</t>
  </si>
  <si>
    <t>Langkah 6</t>
  </si>
  <si>
    <t>Bulk otomatis dihitung dari harga jual: 6–11 pcs -5%, 12–23 pcs -8%, 1 dus -12%.</t>
  </si>
  <si>
    <t>Catatan</t>
  </si>
  <si>
    <t>Persentase bulk dapat diubah pada kolom formula jika strategi toko berubah.</t>
  </si>
  <si>
    <t>SKU</t>
  </si>
  <si>
    <t>Kategori</t>
  </si>
  <si>
    <t>Nama Produk</t>
  </si>
  <si>
    <t>Merek</t>
  </si>
  <si>
    <t>Ukuran</t>
  </si>
  <si>
    <t>Unit</t>
  </si>
  <si>
    <t>Harga Rata-rata ¥</t>
  </si>
  <si>
    <t>Harga Jual Sembako ¥</t>
  </si>
  <si>
    <t>Bulk 6–11 ¥</t>
  </si>
  <si>
    <t>Bulk 12–23 ¥</t>
  </si>
  <si>
    <t>Bulk 1 Dus ¥</t>
  </si>
  <si>
    <t>HPP Landed ¥</t>
  </si>
  <si>
    <t>Margin ¥</t>
  </si>
  <si>
    <t>Margin %</t>
  </si>
  <si>
    <t>Status Produk</t>
  </si>
  <si>
    <t>SN-0001</t>
  </si>
  <si>
    <t>Saus &amp; Sambal</t>
  </si>
  <si>
    <t>ABC Sambal Asli</t>
  </si>
  <si>
    <t>ABC</t>
  </si>
  <si>
    <t>Botol</t>
  </si>
  <si>
    <t>TBD</t>
  </si>
  <si>
    <t>SN-0002</t>
  </si>
  <si>
    <t>ABC Sambal Extra Pedas</t>
  </si>
  <si>
    <t>SN-0003</t>
  </si>
  <si>
    <t>SN-0004</t>
  </si>
  <si>
    <t>SN-0005</t>
  </si>
  <si>
    <t>SN-0006</t>
  </si>
  <si>
    <t>Jar</t>
  </si>
  <si>
    <t>SN-0007</t>
  </si>
  <si>
    <t>SN-0008</t>
  </si>
  <si>
    <t>SN-0009</t>
  </si>
  <si>
    <t>SN-0010</t>
  </si>
  <si>
    <t>SN-0011</t>
  </si>
  <si>
    <t>500 g</t>
  </si>
  <si>
    <t>Pack</t>
  </si>
  <si>
    <t>SN-0012</t>
  </si>
  <si>
    <t>SN-0013</t>
  </si>
  <si>
    <t>250 g</t>
  </si>
  <si>
    <t>SN-0014</t>
  </si>
  <si>
    <t>SN-0015</t>
  </si>
  <si>
    <t>Daun Salam</t>
  </si>
  <si>
    <t>SN-0016</t>
  </si>
  <si>
    <t>Daun Jeruk</t>
  </si>
  <si>
    <t>SN-0017</t>
  </si>
  <si>
    <t>SN-0018</t>
  </si>
  <si>
    <t>Bawang Merah</t>
  </si>
  <si>
    <t>SN-0019</t>
  </si>
  <si>
    <t>Bawang Putih</t>
  </si>
  <si>
    <t>SN-0020</t>
  </si>
  <si>
    <t>SN-0021</t>
  </si>
  <si>
    <t>SN-0022</t>
  </si>
  <si>
    <t>SN-0023</t>
  </si>
  <si>
    <t>SN-0024</t>
  </si>
  <si>
    <t>SN-0025</t>
  </si>
  <si>
    <t>SN-0026</t>
  </si>
  <si>
    <t>SN-0027</t>
  </si>
  <si>
    <t>SN-0028</t>
  </si>
  <si>
    <t>SN-0029</t>
  </si>
  <si>
    <t>SN-0030</t>
  </si>
  <si>
    <t>SN-0031</t>
  </si>
  <si>
    <t>10 pcs</t>
  </si>
  <si>
    <t>SN-0032</t>
  </si>
  <si>
    <t>SN-0033</t>
  </si>
  <si>
    <t>Bumbu Instan</t>
  </si>
  <si>
    <t>Bamboe Ayam Goreng</t>
  </si>
  <si>
    <t>Bamboe</t>
  </si>
  <si>
    <t>Sachet</t>
  </si>
  <si>
    <t>SN-0034</t>
  </si>
  <si>
    <t>SN-0035</t>
  </si>
  <si>
    <t>Bamboe Gule</t>
  </si>
  <si>
    <t>SN-0036</t>
  </si>
  <si>
    <t>Bamboe Kare</t>
  </si>
  <si>
    <t>SN-0037</t>
  </si>
  <si>
    <t>Bamboe Nasi Goreng</t>
  </si>
  <si>
    <t>SN-0038</t>
  </si>
  <si>
    <t>Bamboe Opor</t>
  </si>
  <si>
    <t>SN-0039</t>
  </si>
  <si>
    <t>SN-0040</t>
  </si>
  <si>
    <t>Bamboe Rendang</t>
  </si>
  <si>
    <t>SN-0041</t>
  </si>
  <si>
    <t>Bamboe Soto Ayam</t>
  </si>
  <si>
    <t>SN-0042</t>
  </si>
  <si>
    <t>Racik Ayam Goreng</t>
  </si>
  <si>
    <t>20 g</t>
  </si>
  <si>
    <t>SN-0043</t>
  </si>
  <si>
    <t>Racik Nasi Goreng</t>
  </si>
  <si>
    <t>SN-0044</t>
  </si>
  <si>
    <t>SN-0045</t>
  </si>
  <si>
    <t>Mie &amp; Bihun</t>
  </si>
  <si>
    <t>SN-0046</t>
  </si>
  <si>
    <t>SN-0047</t>
  </si>
  <si>
    <t>SN-0048</t>
  </si>
  <si>
    <t>Indomie Goreng Pedas</t>
  </si>
  <si>
    <t>SN-0049</t>
  </si>
  <si>
    <t>SN-0050</t>
  </si>
  <si>
    <t>Indomie Ayam Bawang</t>
  </si>
  <si>
    <t>SN-0051</t>
  </si>
  <si>
    <t>Indomie Kari Ayam</t>
  </si>
  <si>
    <t>SN-0052</t>
  </si>
  <si>
    <t>SN-0053</t>
  </si>
  <si>
    <t>SN-0054</t>
  </si>
  <si>
    <t>SN-0055</t>
  </si>
  <si>
    <t>SN-0056</t>
  </si>
  <si>
    <t>200 g</t>
  </si>
  <si>
    <t>SN-0057</t>
  </si>
  <si>
    <t>100 g</t>
  </si>
  <si>
    <t>SN-0058</t>
  </si>
  <si>
    <t>Sasa MSG</t>
  </si>
  <si>
    <t>Sasa</t>
  </si>
  <si>
    <t>SN-0059</t>
  </si>
  <si>
    <t>SN-0060</t>
  </si>
  <si>
    <t>Ajinomoto</t>
  </si>
  <si>
    <t>SN-0061</t>
  </si>
  <si>
    <t>Royco</t>
  </si>
  <si>
    <t>SN-0062</t>
  </si>
  <si>
    <t>SN-0063</t>
  </si>
  <si>
    <t>Masako</t>
  </si>
  <si>
    <t>SN-0064</t>
  </si>
  <si>
    <t>SN-0065</t>
  </si>
  <si>
    <t>Totole</t>
  </si>
  <si>
    <t>SN-0066</t>
  </si>
  <si>
    <t>Finna</t>
  </si>
  <si>
    <t>SN-0067</t>
  </si>
  <si>
    <t>SN-0068</t>
  </si>
  <si>
    <t>SN-0069</t>
  </si>
  <si>
    <t>SN-0070</t>
  </si>
  <si>
    <t>SN-0071</t>
  </si>
  <si>
    <t>SN-0072</t>
  </si>
  <si>
    <t>SN-0073</t>
  </si>
  <si>
    <t>SN-0074</t>
  </si>
  <si>
    <t>SN-0075</t>
  </si>
  <si>
    <t>SN-0076</t>
  </si>
  <si>
    <t>SN-0077</t>
  </si>
  <si>
    <t>SN-0078</t>
  </si>
  <si>
    <t>SN-0079</t>
  </si>
  <si>
    <t>SN-0080</t>
  </si>
  <si>
    <t>SN-0081</t>
  </si>
  <si>
    <t>SN-0082</t>
  </si>
  <si>
    <t>Kayu Manis</t>
  </si>
  <si>
    <t>SN-0083</t>
  </si>
  <si>
    <t>Cengkeh</t>
  </si>
  <si>
    <t>SN-0084</t>
  </si>
  <si>
    <t>SN-0085</t>
  </si>
  <si>
    <t>Kemiri</t>
  </si>
  <si>
    <t>SN-0086</t>
  </si>
  <si>
    <t>SN-0087</t>
  </si>
  <si>
    <t>Terasi</t>
  </si>
  <si>
    <t>SN-0088</t>
  </si>
  <si>
    <t>Snack</t>
  </si>
  <si>
    <t>SN-0089</t>
  </si>
  <si>
    <t>SN-0090</t>
  </si>
  <si>
    <t>SN-0091</t>
  </si>
  <si>
    <t>SN-0092</t>
  </si>
  <si>
    <t>SN-0093</t>
  </si>
  <si>
    <t>SN-0094</t>
  </si>
  <si>
    <t>SN-0095</t>
  </si>
  <si>
    <t>SN-0096</t>
  </si>
  <si>
    <t>SN-0097</t>
  </si>
  <si>
    <t>SN-0098</t>
  </si>
  <si>
    <t>SN-0099</t>
  </si>
  <si>
    <t>SN-0100</t>
  </si>
  <si>
    <t>SN-0101</t>
  </si>
  <si>
    <t>Minuman</t>
  </si>
  <si>
    <t>SN-0102</t>
  </si>
  <si>
    <t>SN-0103</t>
  </si>
  <si>
    <t>SN-0104</t>
  </si>
  <si>
    <t>SN-0105</t>
  </si>
  <si>
    <t>165 g</t>
  </si>
  <si>
    <t>SN-0106</t>
  </si>
  <si>
    <t>SN-0107</t>
  </si>
  <si>
    <t>Nutrisari Jeruk</t>
  </si>
  <si>
    <t>SN-0108</t>
  </si>
  <si>
    <t>SN-0109</t>
  </si>
  <si>
    <t>SN-0110</t>
  </si>
  <si>
    <t>Teh Botol Sosro</t>
  </si>
  <si>
    <t>330 ml</t>
  </si>
  <si>
    <t>SN-0111</t>
  </si>
  <si>
    <t>620 ml</t>
  </si>
  <si>
    <t>SN-0112</t>
  </si>
  <si>
    <t>Obat/OTC</t>
  </si>
  <si>
    <t>60 ml</t>
  </si>
  <si>
    <t>SN-0113</t>
  </si>
  <si>
    <t>SN-0114</t>
  </si>
  <si>
    <t>SN-0115</t>
  </si>
  <si>
    <t>12 sachet</t>
  </si>
  <si>
    <t>Box</t>
  </si>
  <si>
    <t>SN-0116</t>
  </si>
  <si>
    <t>15 sachet</t>
  </si>
  <si>
    <t>SN-0117</t>
  </si>
  <si>
    <t>7 ml</t>
  </si>
  <si>
    <t>SN-0118</t>
  </si>
  <si>
    <t>Lain-lain</t>
  </si>
  <si>
    <t>Santan Kara</t>
  </si>
  <si>
    <t>Kara</t>
  </si>
  <si>
    <t>65 ml</t>
  </si>
  <si>
    <t>SN-0119</t>
  </si>
  <si>
    <t>200 ml</t>
  </si>
  <si>
    <t>SN-0120</t>
  </si>
  <si>
    <t>Tepung Tapioka</t>
  </si>
  <si>
    <t>SN-0121</t>
  </si>
  <si>
    <t>Tepung Beras</t>
  </si>
  <si>
    <t>SN-0122</t>
  </si>
  <si>
    <t>Tepung Terigu</t>
  </si>
  <si>
    <t>1 kg</t>
  </si>
  <si>
    <t>SN-0123</t>
  </si>
  <si>
    <t>Gula Aren</t>
  </si>
  <si>
    <t>SN-0124</t>
  </si>
  <si>
    <t>Kecap Asin</t>
  </si>
  <si>
    <t>150 ml</t>
  </si>
  <si>
    <t>SN-0125</t>
  </si>
  <si>
    <t>Cuka Masak</t>
  </si>
  <si>
    <t>SN-0126</t>
  </si>
  <si>
    <t>SN-0127</t>
  </si>
  <si>
    <t>SN-0128</t>
  </si>
  <si>
    <t>SN-0129</t>
  </si>
  <si>
    <t>SN-0130</t>
  </si>
  <si>
    <t>SN-0131</t>
  </si>
  <si>
    <t>SN-0132</t>
  </si>
  <si>
    <t>SN-0133</t>
  </si>
  <si>
    <t>SN-0134</t>
  </si>
  <si>
    <t>SN-0135</t>
  </si>
  <si>
    <t>SN-0136</t>
  </si>
  <si>
    <t>SN-0137</t>
  </si>
  <si>
    <t>SN-0138</t>
  </si>
  <si>
    <t>SN-0139</t>
  </si>
  <si>
    <t>SN-0140</t>
  </si>
  <si>
    <t>SN-0141</t>
  </si>
  <si>
    <t>SN-0142</t>
  </si>
  <si>
    <t>SN-0143</t>
  </si>
  <si>
    <t>SN-0144</t>
  </si>
  <si>
    <t>SN-0145</t>
  </si>
  <si>
    <t>SN-0146</t>
  </si>
  <si>
    <t>SN-0147</t>
  </si>
  <si>
    <t>SN-0148</t>
  </si>
  <si>
    <t>SN-0149</t>
  </si>
  <si>
    <t>SN-0150</t>
  </si>
  <si>
    <t>SN-0151</t>
  </si>
  <si>
    <t>SN-0152</t>
  </si>
  <si>
    <t>SN-0153</t>
  </si>
  <si>
    <t>SN-0154</t>
  </si>
  <si>
    <t>SN-0155</t>
  </si>
  <si>
    <t>SN-0156</t>
  </si>
  <si>
    <t>SN-0157</t>
  </si>
  <si>
    <t>SN-0158</t>
  </si>
  <si>
    <t>SN-0159</t>
  </si>
  <si>
    <t>SN-0160</t>
  </si>
  <si>
    <t>SN-0161</t>
  </si>
  <si>
    <t>SN-0162</t>
  </si>
  <si>
    <t>SN-0163</t>
  </si>
  <si>
    <t>SN-0164</t>
  </si>
  <si>
    <t>SN-0165</t>
  </si>
  <si>
    <t>SN-0166</t>
  </si>
  <si>
    <t>SN-0167</t>
  </si>
  <si>
    <t>SN-0168</t>
  </si>
  <si>
    <t>SN-0169</t>
  </si>
  <si>
    <t>SN-0170</t>
  </si>
  <si>
    <t>SN-0171</t>
  </si>
  <si>
    <t>SN-0172</t>
  </si>
  <si>
    <t>SN-0173</t>
  </si>
  <si>
    <t>SN-0174</t>
  </si>
  <si>
    <t>SN-0175</t>
  </si>
  <si>
    <t>SN-0176</t>
  </si>
  <si>
    <t>SN-0177</t>
  </si>
  <si>
    <t>SN-0178</t>
  </si>
  <si>
    <t>SN-0179</t>
  </si>
  <si>
    <t>SN-0180</t>
  </si>
  <si>
    <t>SN-0181</t>
  </si>
  <si>
    <t>SN-0182</t>
  </si>
  <si>
    <t>SN-0183</t>
  </si>
  <si>
    <t>SN-0184</t>
  </si>
  <si>
    <t>SN-0185</t>
  </si>
  <si>
    <t>SN-0186</t>
  </si>
  <si>
    <t>SN-0187</t>
  </si>
  <si>
    <t>SN-0188</t>
  </si>
  <si>
    <t>SN-0189</t>
  </si>
  <si>
    <t>SN-0190</t>
  </si>
  <si>
    <t>SN-0191</t>
  </si>
  <si>
    <t>SN-0192</t>
  </si>
  <si>
    <t>SN-0193</t>
  </si>
  <si>
    <t>SN-0194</t>
  </si>
  <si>
    <t>SN-0195</t>
  </si>
  <si>
    <t>SN-0196</t>
  </si>
  <si>
    <t>SN-0197</t>
  </si>
  <si>
    <t>SN-0198</t>
  </si>
  <si>
    <t>SN-0199</t>
  </si>
  <si>
    <t>SN-0200</t>
  </si>
  <si>
    <t>SN-0201</t>
  </si>
  <si>
    <t>SN-0202</t>
  </si>
  <si>
    <t>SN-0203</t>
  </si>
  <si>
    <t>SN-0204</t>
  </si>
  <si>
    <t>SN-0205</t>
  </si>
  <si>
    <t>SN-0206</t>
  </si>
  <si>
    <t>SN-0207</t>
  </si>
  <si>
    <t>SN-0208</t>
  </si>
  <si>
    <t>SN-0209</t>
  </si>
  <si>
    <t>SN-0210</t>
  </si>
  <si>
    <t>SN-0211</t>
  </si>
  <si>
    <t>SN-0212</t>
  </si>
  <si>
    <t>SN-0213</t>
  </si>
  <si>
    <t>SN-0214</t>
  </si>
  <si>
    <t>SN-0215</t>
  </si>
  <si>
    <t>SN-0216</t>
  </si>
  <si>
    <t>SN-0217</t>
  </si>
  <si>
    <t>SN-0218</t>
  </si>
  <si>
    <t>SN-0219</t>
  </si>
  <si>
    <t>SN-0220</t>
  </si>
  <si>
    <t>SN-0221</t>
  </si>
  <si>
    <t>SN-0222</t>
  </si>
  <si>
    <t>SN-0223</t>
  </si>
  <si>
    <t>SN-0224</t>
  </si>
  <si>
    <t>SN-0225</t>
  </si>
  <si>
    <t>SN-0226</t>
  </si>
  <si>
    <t>SN-0227</t>
  </si>
  <si>
    <t>SN-0228</t>
  </si>
  <si>
    <t>SN-0229</t>
  </si>
  <si>
    <t>SN-0230</t>
  </si>
  <si>
    <t>SN-0231</t>
  </si>
  <si>
    <t>SN-0232</t>
  </si>
  <si>
    <t>SN-0233</t>
  </si>
  <si>
    <t>SN-0234</t>
  </si>
  <si>
    <t>SN-0235</t>
  </si>
  <si>
    <t>SN-0236</t>
  </si>
  <si>
    <t>SN-0237</t>
  </si>
  <si>
    <t>SN-0238</t>
  </si>
  <si>
    <t>SN-0239</t>
  </si>
  <si>
    <t>SN-0240</t>
  </si>
  <si>
    <t>SN-0241</t>
  </si>
  <si>
    <t>SN-0242</t>
  </si>
  <si>
    <t>SN-0243</t>
  </si>
  <si>
    <t>SN-0244</t>
  </si>
  <si>
    <t>SN-0245</t>
  </si>
  <si>
    <t>SN-0246</t>
  </si>
  <si>
    <t>SN-0247</t>
  </si>
  <si>
    <t>SN-0248</t>
  </si>
  <si>
    <t>SN-0249</t>
  </si>
  <si>
    <t>SN-0250</t>
  </si>
  <si>
    <t>SN-0251</t>
  </si>
  <si>
    <t>SN-0252</t>
  </si>
  <si>
    <t>SN-0253</t>
  </si>
  <si>
    <t>SN-0254</t>
  </si>
  <si>
    <t>SN-0255</t>
  </si>
  <si>
    <t>SN-0256</t>
  </si>
  <si>
    <t>SN-0257</t>
  </si>
  <si>
    <t>SN-0258</t>
  </si>
  <si>
    <t>SN-0259</t>
  </si>
  <si>
    <t>SN-0260</t>
  </si>
  <si>
    <t>SN-0261</t>
  </si>
  <si>
    <t>SN-0262</t>
  </si>
  <si>
    <t>SN-0263</t>
  </si>
  <si>
    <t>SN-0264</t>
  </si>
  <si>
    <t>SN-0265</t>
  </si>
  <si>
    <t>SN-0266</t>
  </si>
  <si>
    <t>SN-0267</t>
  </si>
  <si>
    <t>SN-0268</t>
  </si>
  <si>
    <t>SN-0269</t>
  </si>
  <si>
    <t>SN-0270</t>
  </si>
  <si>
    <t>SN-0271</t>
  </si>
  <si>
    <t>SN-0272</t>
  </si>
  <si>
    <t>SN-0273</t>
  </si>
  <si>
    <t>SN-0274</t>
  </si>
  <si>
    <t>SN-0275</t>
  </si>
  <si>
    <t>SN-0276</t>
  </si>
  <si>
    <t>SN-0277</t>
  </si>
  <si>
    <t>SN-0278</t>
  </si>
  <si>
    <t>SN-0279</t>
  </si>
  <si>
    <t>SN-0280</t>
  </si>
  <si>
    <t>SN-0281</t>
  </si>
  <si>
    <t>SN-0282</t>
  </si>
  <si>
    <t>SN-0283</t>
  </si>
  <si>
    <t>SN-0284</t>
  </si>
  <si>
    <t>SN-0285</t>
  </si>
  <si>
    <t>SN-0286</t>
  </si>
  <si>
    <t>SN-0287</t>
  </si>
  <si>
    <t>SN-0288</t>
  </si>
  <si>
    <t>SN-0289</t>
  </si>
  <si>
    <t>SN-0290</t>
  </si>
  <si>
    <t>SN-0291</t>
  </si>
  <si>
    <t>SN-0292</t>
  </si>
  <si>
    <t>SN-0293</t>
  </si>
  <si>
    <t>SN-0294</t>
  </si>
  <si>
    <t>SN-0295</t>
  </si>
  <si>
    <t>SN-0296</t>
  </si>
  <si>
    <t>SN-0297</t>
  </si>
  <si>
    <t>SN-0298</t>
  </si>
  <si>
    <t>SN-0299</t>
  </si>
  <si>
    <t>SN-0300</t>
  </si>
  <si>
    <t>SN-0301</t>
  </si>
  <si>
    <t>SN-0302</t>
  </si>
  <si>
    <t>SN-0303</t>
  </si>
  <si>
    <t>SN-0304</t>
  </si>
  <si>
    <t>SN-0305</t>
  </si>
  <si>
    <t>SN-0306</t>
  </si>
  <si>
    <t>SN-0307</t>
  </si>
  <si>
    <t>SN-0308</t>
  </si>
  <si>
    <t>SN-0309</t>
  </si>
  <si>
    <t>SN-0310</t>
  </si>
  <si>
    <t>SN-0311</t>
  </si>
  <si>
    <t>SN-0312</t>
  </si>
  <si>
    <t>SN-0313</t>
  </si>
  <si>
    <t>SN-0314</t>
  </si>
  <si>
    <t>SN-0315</t>
  </si>
  <si>
    <t>SN-0316</t>
  </si>
  <si>
    <t>SN-0317</t>
  </si>
  <si>
    <t>SN-0318</t>
  </si>
  <si>
    <t>SN-0319</t>
  </si>
  <si>
    <t>SN-0320</t>
  </si>
  <si>
    <t>SN-0321</t>
  </si>
  <si>
    <t>SN-0322</t>
  </si>
  <si>
    <t>SN-0323</t>
  </si>
  <si>
    <t>SN-0324</t>
  </si>
  <si>
    <t>SN-0325</t>
  </si>
  <si>
    <t>SN-0326</t>
  </si>
  <si>
    <t>SN-0327</t>
  </si>
  <si>
    <t>SN-0328</t>
  </si>
  <si>
    <t>SN-0329</t>
  </si>
  <si>
    <t>SN-0330</t>
  </si>
  <si>
    <t>SN-0331</t>
  </si>
  <si>
    <t>SN-0332</t>
  </si>
  <si>
    <t>SN-0333</t>
  </si>
  <si>
    <t>SN-0334</t>
  </si>
  <si>
    <t>SN-0335</t>
  </si>
  <si>
    <t>SN-0336</t>
  </si>
  <si>
    <t>SN-0337</t>
  </si>
  <si>
    <t>SN-0338</t>
  </si>
  <si>
    <t>SN-0339</t>
  </si>
  <si>
    <t>SN-0340</t>
  </si>
  <si>
    <t>SN-0341</t>
  </si>
  <si>
    <t>SN-0342</t>
  </si>
  <si>
    <t>SN-0343</t>
  </si>
  <si>
    <t>SN-0344</t>
  </si>
  <si>
    <t>SN-0345</t>
  </si>
  <si>
    <t>SN-0346</t>
  </si>
  <si>
    <t>SN-0347</t>
  </si>
  <si>
    <t>SN-0348</t>
  </si>
  <si>
    <t>SN-0349</t>
  </si>
  <si>
    <t>SN-0350</t>
  </si>
  <si>
    <t>SN-0351</t>
  </si>
  <si>
    <t>SN-0352</t>
  </si>
  <si>
    <t>SN-0353</t>
  </si>
  <si>
    <t>SN-0354</t>
  </si>
  <si>
    <t>SN-0355</t>
  </si>
  <si>
    <t>SN-0356</t>
  </si>
  <si>
    <t>SN-0357</t>
  </si>
  <si>
    <t>SN-0358</t>
  </si>
  <si>
    <t>SN-0359</t>
  </si>
  <si>
    <t>SN-0360</t>
  </si>
  <si>
    <t>SN-0361</t>
  </si>
  <si>
    <t>SN-0362</t>
  </si>
  <si>
    <t>SN-0363</t>
  </si>
  <si>
    <t>SN-0364</t>
  </si>
  <si>
    <t>SN-0365</t>
  </si>
  <si>
    <t>SN-0366</t>
  </si>
  <si>
    <t>SN-0367</t>
  </si>
  <si>
    <t>SN-0368</t>
  </si>
  <si>
    <t>SN-0369</t>
  </si>
  <si>
    <t>SN-0370</t>
  </si>
  <si>
    <t>SN-0371</t>
  </si>
  <si>
    <t>SN-0372</t>
  </si>
  <si>
    <t>SN-0373</t>
  </si>
  <si>
    <t>SN-0374</t>
  </si>
  <si>
    <t>SN-0375</t>
  </si>
  <si>
    <t>SN-0376</t>
  </si>
  <si>
    <t>SN-0377</t>
  </si>
  <si>
    <t>SN-0378</t>
  </si>
  <si>
    <t>SN-0379</t>
  </si>
  <si>
    <t>SN-0380</t>
  </si>
  <si>
    <t>SN-0381</t>
  </si>
  <si>
    <t>SN-0382</t>
  </si>
  <si>
    <t>SN-0383</t>
  </si>
  <si>
    <t>SN-0384</t>
  </si>
  <si>
    <t>SN-0385</t>
  </si>
  <si>
    <t>SN-0386</t>
  </si>
  <si>
    <t>SN-0387</t>
  </si>
  <si>
    <t>SN-0388</t>
  </si>
  <si>
    <t>SN-0389</t>
  </si>
  <si>
    <t>SN-0390</t>
  </si>
  <si>
    <t>SN-0391</t>
  </si>
  <si>
    <t>SN-0392</t>
  </si>
  <si>
    <t>SN-0393</t>
  </si>
  <si>
    <t>SN-0394</t>
  </si>
  <si>
    <t>SN-0395</t>
  </si>
  <si>
    <t>SN-0396</t>
  </si>
  <si>
    <t>SN-0397</t>
  </si>
  <si>
    <t>SN-0398</t>
  </si>
  <si>
    <t>SN-0399</t>
  </si>
  <si>
    <t>SN-0400</t>
  </si>
  <si>
    <t>SN-0401</t>
  </si>
  <si>
    <t>SN-0402</t>
  </si>
  <si>
    <t>SN-0403</t>
  </si>
  <si>
    <t>SN-0404</t>
  </si>
  <si>
    <t>SN-0405</t>
  </si>
  <si>
    <t>SN-0406</t>
  </si>
  <si>
    <t>SN-0407</t>
  </si>
  <si>
    <t>SN-0408</t>
  </si>
  <si>
    <t>SN-0409</t>
  </si>
  <si>
    <t>SN-0410</t>
  </si>
  <si>
    <t>SN-0411</t>
  </si>
  <si>
    <t>SN-0412</t>
  </si>
  <si>
    <t>SN-0413</t>
  </si>
  <si>
    <t>SN-0414</t>
  </si>
  <si>
    <t>SN-0415</t>
  </si>
  <si>
    <t>SN-0416</t>
  </si>
  <si>
    <t>SN-0417</t>
  </si>
  <si>
    <t>SN-0418</t>
  </si>
  <si>
    <t>SN-0419</t>
  </si>
  <si>
    <t>SN-0420</t>
  </si>
  <si>
    <t>SN-0421</t>
  </si>
  <si>
    <t>SN-0422</t>
  </si>
  <si>
    <t>SN-0423</t>
  </si>
  <si>
    <t>SN-0424</t>
  </si>
  <si>
    <t>SN-0425</t>
  </si>
  <si>
    <t>SN-0426</t>
  </si>
  <si>
    <t>SN-0427</t>
  </si>
  <si>
    <t>SN-0428</t>
  </si>
  <si>
    <t>SN-0429</t>
  </si>
  <si>
    <t>SN-0430</t>
  </si>
  <si>
    <t>SN-0431</t>
  </si>
  <si>
    <t>SN-0432</t>
  </si>
  <si>
    <t>SN-0433</t>
  </si>
  <si>
    <t>SN-0434</t>
  </si>
  <si>
    <t>SN-0435</t>
  </si>
  <si>
    <t>SN-0436</t>
  </si>
  <si>
    <t>SN-0437</t>
  </si>
  <si>
    <t>SN-0438</t>
  </si>
  <si>
    <t>SN-0439</t>
  </si>
  <si>
    <t>SN-0440</t>
  </si>
  <si>
    <t>SN-0441</t>
  </si>
  <si>
    <t>SN-0442</t>
  </si>
  <si>
    <t>SN-0443</t>
  </si>
  <si>
    <t>SN-0444</t>
  </si>
  <si>
    <t>SN-0445</t>
  </si>
  <si>
    <t>SN-0446</t>
  </si>
  <si>
    <t>SN-0447</t>
  </si>
  <si>
    <t>SN-0448</t>
  </si>
  <si>
    <t>SN-0449</t>
  </si>
  <si>
    <t>SN-0450</t>
  </si>
  <si>
    <t>SN-0451</t>
  </si>
  <si>
    <t>SN-0452</t>
  </si>
  <si>
    <t>SN-0453</t>
  </si>
  <si>
    <t>SN-0454</t>
  </si>
  <si>
    <t>SN-0455</t>
  </si>
  <si>
    <t>SN-0456</t>
  </si>
  <si>
    <t>SN-0457</t>
  </si>
  <si>
    <t>SN-0458</t>
  </si>
  <si>
    <t>SN-0459</t>
  </si>
  <si>
    <t>SN-0460</t>
  </si>
  <si>
    <t>SN-0461</t>
  </si>
  <si>
    <t>SN-0462</t>
  </si>
  <si>
    <t>SN-0463</t>
  </si>
  <si>
    <t>SN-0464</t>
  </si>
  <si>
    <t>SN-0465</t>
  </si>
  <si>
    <t>SN-0466</t>
  </si>
  <si>
    <t>SN-0467</t>
  </si>
  <si>
    <t>SN-0468</t>
  </si>
  <si>
    <t>SN-0469</t>
  </si>
  <si>
    <t>SN-0470</t>
  </si>
  <si>
    <t>SN-0471</t>
  </si>
  <si>
    <t>SN-0472</t>
  </si>
  <si>
    <t>SN-0473</t>
  </si>
  <si>
    <t>SN-0474</t>
  </si>
  <si>
    <t>SN-0475</t>
  </si>
  <si>
    <t>SN-0476</t>
  </si>
  <si>
    <t>SN-0477</t>
  </si>
  <si>
    <t>SN-0478</t>
  </si>
  <si>
    <t>SN-0479</t>
  </si>
  <si>
    <t>SN-0480</t>
  </si>
  <si>
    <t>SN-0481</t>
  </si>
  <si>
    <t>SN-0482</t>
  </si>
  <si>
    <t>SN-0483</t>
  </si>
  <si>
    <t>SN-0484</t>
  </si>
  <si>
    <t>SN-0485</t>
  </si>
  <si>
    <t>SN-0486</t>
  </si>
  <si>
    <t>SN-0487</t>
  </si>
  <si>
    <t>SN-0488</t>
  </si>
  <si>
    <t>SN-0489</t>
  </si>
  <si>
    <t>SN-0490</t>
  </si>
  <si>
    <t>SN-0491</t>
  </si>
  <si>
    <t>SN-0492</t>
  </si>
  <si>
    <t>SN-0493</t>
  </si>
  <si>
    <t>SN-0494</t>
  </si>
  <si>
    <t>SN-0495</t>
  </si>
  <si>
    <t>SN-0496</t>
  </si>
  <si>
    <t>SN-0497</t>
  </si>
  <si>
    <t>SN-0498</t>
  </si>
  <si>
    <t>SN-0499</t>
  </si>
  <si>
    <t>Rata-rata ¥</t>
  </si>
  <si>
    <t>Harga Sembako ¥</t>
  </si>
  <si>
    <t>Market Avg ¥</t>
  </si>
  <si>
    <t>Harga Jual ¥</t>
  </si>
  <si>
    <t>SEMBAKO NUSANTARA — DASHBOARD</t>
  </si>
  <si>
    <t>Total SKU</t>
  </si>
  <si>
    <t>SKU punya benchmark</t>
  </si>
  <si>
    <t>SKU punya harga jual</t>
  </si>
  <si>
    <t>Market Avg</t>
  </si>
  <si>
    <t>Target Harga Eceran</t>
  </si>
  <si>
    <t>Margin rata-rata</t>
  </si>
  <si>
    <t>CARA KERJA</t>
  </si>
  <si>
    <t>1. Produk kita = daftar produk kompetitor.  2. Isi hanya harga Kome / MB / Sakinah.  3. Rata-rata otomatis.  4. Harga Sembako otomatis mengikuti rata-rata.  5. Masukkan HPP untuk melihat margin.</t>
  </si>
  <si>
    <t>FAST MOVING</t>
  </si>
  <si>
    <t>NORMAL</t>
  </si>
  <si>
    <t>SLOW MOVING</t>
  </si>
  <si>
    <t>PRE-ORDER</t>
  </si>
  <si>
    <t>STOP</t>
  </si>
  <si>
    <t>Masukkan harga Shin Okubo, MB Global , dan Amanah Mande pada baris produk yang sama.</t>
  </si>
  <si>
    <t>Shin Okubo ¥</t>
  </si>
  <si>
    <t>MB Global Shop ¥</t>
  </si>
  <si>
    <t>Amanah Mande ¥</t>
  </si>
  <si>
    <t>Dua Belibis</t>
  </si>
  <si>
    <t>Saori Saus Tiram</t>
  </si>
  <si>
    <t>Saori Teriyaki</t>
  </si>
  <si>
    <t>Sambal Uleg Bawang</t>
  </si>
  <si>
    <t>Sambal Uleg Rawit</t>
  </si>
  <si>
    <t>Sambel Uleg Teri</t>
  </si>
  <si>
    <t>Sambel Uleg Udang</t>
  </si>
  <si>
    <t>Sambel Uleg Terasi</t>
  </si>
  <si>
    <t>Sambel Uleg Rendang</t>
  </si>
  <si>
    <t>Sambel Uleg Ijo</t>
  </si>
  <si>
    <t>Sambel Uleg Serbaguna</t>
  </si>
  <si>
    <t>Antaka Balado</t>
  </si>
  <si>
    <t>Bamboe Kuah Bakso</t>
  </si>
  <si>
    <t>Bamboe Nasi Goreng Pedas</t>
  </si>
  <si>
    <t>Bamboe Sambal Goreng Ati</t>
  </si>
  <si>
    <t>Bamboe Sop</t>
  </si>
  <si>
    <t>Bamboe Soto Betawi</t>
  </si>
  <si>
    <t>Bamboe Soto daging</t>
  </si>
  <si>
    <t>Bamboe Tongseng</t>
  </si>
  <si>
    <t>Racik Ikan Goreng</t>
  </si>
  <si>
    <t>Racik Lodeh</t>
  </si>
  <si>
    <t>Racik Sayur Asem</t>
  </si>
  <si>
    <t>Racik Tahu Tempe</t>
  </si>
  <si>
    <t>Kobe Nasi Kuning 1 Pack 3pcs</t>
  </si>
  <si>
    <t>KOKITA Bumbu Inti A</t>
  </si>
  <si>
    <t>KOKITA Bumbu Inti B</t>
  </si>
  <si>
    <t>KOKITA Bumbu Inti C</t>
  </si>
  <si>
    <t>KOKITA Bumbu Inti D</t>
  </si>
  <si>
    <t>Indomie Goreng</t>
  </si>
  <si>
    <t>Indomie Aceh</t>
  </si>
  <si>
    <t>Indomie Cabe Ijo</t>
  </si>
  <si>
    <t>Indomie Rendang</t>
  </si>
  <si>
    <t>Indomie Soto</t>
  </si>
  <si>
    <t>Indomie Ayam Special</t>
  </si>
  <si>
    <t>Sedaap Goreng</t>
  </si>
  <si>
    <t>Sedaap Soto</t>
  </si>
  <si>
    <t>Sedaap Korean Spicy Chicken</t>
  </si>
  <si>
    <t>Sedaap Bakso</t>
  </si>
  <si>
    <t>Indomie Ayam Geprek</t>
  </si>
  <si>
    <t>Gaga Jalapeno</t>
  </si>
  <si>
    <t>Gaga Blackpapper</t>
  </si>
  <si>
    <t>Indomie Sambal Rica</t>
  </si>
  <si>
    <t>ABC Selera Pedas</t>
  </si>
  <si>
    <t>Sedaap Goreng Cup</t>
  </si>
  <si>
    <t>Racik Rendang</t>
  </si>
  <si>
    <t>Racik Ayam Goreng Rempah</t>
  </si>
  <si>
    <t>Bamboe Ayam Kecap</t>
  </si>
  <si>
    <t>Bamboe Rica-Rica</t>
  </si>
  <si>
    <t>Kobe Nasi Uduk</t>
  </si>
  <si>
    <t>Kobe Rendang</t>
  </si>
  <si>
    <t>Kobe Nasi Kuning</t>
  </si>
  <si>
    <t>Totole Kaldu Jamur</t>
  </si>
  <si>
    <t>Royco Ayam Besar</t>
  </si>
  <si>
    <t>Royco Sapi Besar</t>
  </si>
  <si>
    <t>Masako Ayam Besar</t>
  </si>
  <si>
    <t>Masako Sapi Besar</t>
  </si>
  <si>
    <t>Garam</t>
  </si>
  <si>
    <t>MSG &amp; Kaldu Bubuk</t>
  </si>
  <si>
    <t>Bahan Baking</t>
  </si>
  <si>
    <t>Koepoe-koepoe</t>
  </si>
  <si>
    <t>Baking Powder</t>
  </si>
  <si>
    <t>Ragi</t>
  </si>
  <si>
    <t>TBM</t>
  </si>
  <si>
    <t>Pewarna Pandan</t>
  </si>
  <si>
    <t>Soda Kue</t>
  </si>
  <si>
    <t>Dua Belibis Sauce</t>
  </si>
  <si>
    <t>SP</t>
  </si>
  <si>
    <t>Ovalett</t>
  </si>
  <si>
    <t>Ragi Tempe</t>
  </si>
  <si>
    <t>Raprima</t>
  </si>
  <si>
    <t>500gr</t>
  </si>
  <si>
    <t>Pcs</t>
  </si>
  <si>
    <t>Basreng Pedas Daun Jeruk</t>
  </si>
  <si>
    <t>Bumbu Masak</t>
  </si>
  <si>
    <t>Asem Jawa</t>
  </si>
  <si>
    <t>Biji Pala</t>
  </si>
  <si>
    <t>250 gr</t>
  </si>
  <si>
    <t>Cabe Merah Kering</t>
  </si>
  <si>
    <t xml:space="preserve">Cabe Merah Keriting </t>
  </si>
  <si>
    <t>Cabe Rawit Hijau</t>
  </si>
  <si>
    <t>Ketumbar Butir</t>
  </si>
  <si>
    <t>Kunyit</t>
  </si>
  <si>
    <t>Lada Hitam Butir</t>
  </si>
  <si>
    <t>Lada/Merica Biji</t>
  </si>
  <si>
    <t>Lengkoas</t>
  </si>
  <si>
    <t>Sereh</t>
  </si>
  <si>
    <t>Bunga Lawang</t>
  </si>
  <si>
    <t>Kencur</t>
  </si>
  <si>
    <t>Jahe</t>
  </si>
  <si>
    <t>Gula Merah</t>
  </si>
  <si>
    <t>Kacang Tanah</t>
  </si>
  <si>
    <t>Kacang Ijo</t>
  </si>
  <si>
    <t>Kacang Kedelai</t>
  </si>
  <si>
    <t>Teh Kotak</t>
  </si>
  <si>
    <t>Chocolatos Matcha sachet</t>
  </si>
  <si>
    <t>Chocolatos Cokelat Sachet</t>
  </si>
  <si>
    <t>Kukubima Royal Jelly</t>
  </si>
  <si>
    <t>Energen Vanilla</t>
  </si>
  <si>
    <t>Energen Jahe</t>
  </si>
  <si>
    <t>Energen Kacang Hijau</t>
  </si>
  <si>
    <t>Energen Cokelat</t>
  </si>
  <si>
    <t>Nutrijell all varian</t>
  </si>
  <si>
    <t>Dancow Sachet</t>
  </si>
  <si>
    <t>Milo Sachet</t>
  </si>
  <si>
    <t>Nutrisari Jeruk Peras</t>
  </si>
  <si>
    <t>Indocafe</t>
  </si>
  <si>
    <t>Caffee Mix</t>
  </si>
  <si>
    <t>Indomilk Sachet full cream</t>
  </si>
  <si>
    <t>Jahe Merah AMH</t>
  </si>
  <si>
    <t>Wedang Bajigur</t>
  </si>
  <si>
    <t>Max Tea</t>
  </si>
  <si>
    <t>Kapal Api Sachet</t>
  </si>
  <si>
    <t>Extra Joss</t>
  </si>
  <si>
    <t>Sari Wangi The</t>
  </si>
  <si>
    <t>Tong Jie</t>
  </si>
  <si>
    <t>Good Day Carrebian nuts</t>
  </si>
  <si>
    <t>Bear Brand Milk</t>
  </si>
  <si>
    <t>Teh Pucuk</t>
  </si>
  <si>
    <t>Marjan Cocopandan</t>
  </si>
  <si>
    <t>Marjan Melon</t>
  </si>
  <si>
    <t>Basreng Ori Daun Jeruk</t>
  </si>
  <si>
    <t>Basreng Ekstra Pedas Daun Jeruk</t>
  </si>
  <si>
    <t>Malkist Abon</t>
  </si>
  <si>
    <t>Malkist Roma</t>
  </si>
  <si>
    <t>Beng-beng</t>
  </si>
  <si>
    <t>TicTac Sapi</t>
  </si>
  <si>
    <t>TicTac Rumput Laut</t>
  </si>
  <si>
    <t>TicTac Pedas</t>
  </si>
  <si>
    <t>TicTac Original</t>
  </si>
  <si>
    <t>Garuda Atom Original</t>
  </si>
  <si>
    <t>Garuda Atom Pedas</t>
  </si>
  <si>
    <t>Richeese Nabati</t>
  </si>
  <si>
    <t>Richeese Nabati Cokelat</t>
  </si>
  <si>
    <t>Coki-Coki</t>
  </si>
  <si>
    <t>295 ml</t>
  </si>
  <si>
    <t>395 ml</t>
  </si>
  <si>
    <t>Sambel ABC Sachet</t>
  </si>
  <si>
    <t>marchavallar/other</t>
  </si>
  <si>
    <t>Gunma Halalfood/other</t>
  </si>
  <si>
    <t>Gaga Goreng Extra Pedas</t>
  </si>
  <si>
    <t>1 pcs</t>
  </si>
  <si>
    <t xml:space="preserve">Kobe Nasi Kuning </t>
  </si>
  <si>
    <t>3 pcs</t>
  </si>
  <si>
    <t>3 Pcs</t>
  </si>
  <si>
    <t>Kobe</t>
  </si>
  <si>
    <t>350 gr</t>
  </si>
  <si>
    <t>351 gr</t>
  </si>
  <si>
    <t>352 gr</t>
  </si>
  <si>
    <t>353 gr</t>
  </si>
  <si>
    <t>Kokita</t>
  </si>
  <si>
    <t>Antaka</t>
  </si>
  <si>
    <t>35 gr</t>
  </si>
  <si>
    <t>Bamboe Ayam Bakar Rujak</t>
  </si>
  <si>
    <t>40 gr</t>
  </si>
  <si>
    <t>Desaku</t>
  </si>
  <si>
    <t>Desaku Bawang Putih Renceng</t>
  </si>
  <si>
    <t>Desaku Ketumbar Renceng</t>
  </si>
  <si>
    <t>Desaku Marinasi Renceng</t>
  </si>
  <si>
    <t>Desaku Merica Bubuk Renceng</t>
  </si>
  <si>
    <t>Desaku Kunyit Bubuk Renceng</t>
  </si>
  <si>
    <t>Renceng</t>
  </si>
  <si>
    <t>13 sachet</t>
  </si>
  <si>
    <t>14 sachet</t>
  </si>
  <si>
    <t>16 sachet</t>
  </si>
  <si>
    <t>94 gr</t>
  </si>
  <si>
    <t>Royco Kuah Bakso</t>
  </si>
  <si>
    <t>100 gr</t>
  </si>
  <si>
    <t>95 gr</t>
  </si>
  <si>
    <t>210 gr</t>
  </si>
  <si>
    <t>101 gr</t>
  </si>
  <si>
    <t>Sasa Tepung Serbaguna Original</t>
  </si>
  <si>
    <t>Sasa Tepung Serbaguna Hot &amp; Spicy</t>
  </si>
  <si>
    <t>Amanah Mande/other</t>
  </si>
  <si>
    <t>Luwak White Coffee</t>
  </si>
  <si>
    <t>45 gr</t>
  </si>
  <si>
    <t>Cup</t>
  </si>
  <si>
    <t>Koepoe Vanila</t>
  </si>
  <si>
    <t>20 gr</t>
  </si>
  <si>
    <t>30 gr</t>
  </si>
  <si>
    <t>81 gr</t>
  </si>
  <si>
    <t>25 ml</t>
  </si>
  <si>
    <t>133 ml</t>
  </si>
  <si>
    <t>Saori saus Tiram</t>
  </si>
  <si>
    <t>23 ml</t>
  </si>
  <si>
    <t>Wings Food</t>
  </si>
  <si>
    <t>Indofood</t>
  </si>
  <si>
    <t>Jakarana Tama</t>
  </si>
  <si>
    <t xml:space="preserve">Good Day Cappucino </t>
  </si>
  <si>
    <t>Good Day Original</t>
  </si>
  <si>
    <t>Good Day Vanilla</t>
  </si>
  <si>
    <t>Good Day Chocochino</t>
  </si>
  <si>
    <t>Good Day Mochachino</t>
  </si>
  <si>
    <t>Good Day Freez</t>
  </si>
  <si>
    <t>Good Day Cool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</si>
</sst>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¥#,##0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7F0000"/>
      <name val="Calibri"/>
      <family val="2"/>
    </font>
    <font>
      <b/>
      <sz val="16"/>
      <name val="Calibri"/>
      <family val="2"/>
    </font>
    <font>
      <b/>
      <sz val="22"/>
      <color rgb="FFFFFFFF"/>
      <name val="Calibri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71C1C"/>
      </patternFill>
    </fill>
    <fill>
      <patternFill patternType="solid">
        <fgColor rgb="FFFCE4D6"/>
      </patternFill>
    </fill>
    <fill>
      <patternFill patternType="solid">
        <fgColor rgb="FFFFF8F0"/>
      </patternFill>
    </fill>
    <fill>
      <patternFill patternType="solid">
        <fgColor rgb="FF7F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vertical="top" wrapText="1"/>
    </xf>
    <xf numFmtId="9" fontId="0" fillId="0" borderId="1" xfId="0" applyNumberFormat="1" applyBorder="1" applyAlignment="1">
      <alignment vertical="top" wrapText="1"/>
    </xf>
    <xf numFmtId="0" fontId="2" fillId="3" borderId="0" xfId="0" applyFont="1" applyFill="1"/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9" fontId="3" fillId="4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vertical="top" wrapText="1"/>
    </xf>
    <xf numFmtId="0" fontId="2" fillId="0" borderId="1" xfId="0" applyFont="1" applyBorder="1"/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0" fontId="1" fillId="2" borderId="0" xfId="0" applyFont="1" applyFill="1" applyAlignment="1">
      <alignment horizont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164" fontId="0" fillId="4" borderId="2" xfId="0" applyNumberFormat="1" applyFill="1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9" fontId="0" fillId="0" borderId="2" xfId="0" applyNumberFormat="1" applyBorder="1" applyAlignment="1">
      <alignment vertical="top" wrapText="1"/>
    </xf>
    <xf numFmtId="0" fontId="1" fillId="2" borderId="2" xfId="0" applyFont="1" applyFill="1" applyBorder="1" applyAlignment="1">
      <alignment horizontal="center" wrapText="1"/>
    </xf>
    <xf numFmtId="164" fontId="5" fillId="4" borderId="2" xfId="0" applyNumberFormat="1" applyFont="1" applyFill="1" applyBorder="1" applyAlignment="1">
      <alignment vertical="top" wrapText="1"/>
    </xf>
    <xf numFmtId="164" fontId="0" fillId="6" borderId="2" xfId="0" applyNumberFormat="1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4" fillId="2" borderId="0" xfId="0" applyFont="1" applyFill="1"/>
    <xf numFmtId="0" fontId="0" fillId="0" borderId="0" xfId="0"/>
    <xf numFmtId="0" fontId="0" fillId="0" borderId="0" xfId="0" applyAlignment="1">
      <alignment vertical="top" wrapText="1"/>
    </xf>
    <xf numFmtId="0" fontId="4" fillId="2" borderId="0" xfId="0" applyFont="1" applyFill="1" applyAlignment="1">
      <alignment vertical="center"/>
    </xf>
    <xf numFmtId="0" fontId="1" fillId="5" borderId="0" xfId="0" applyFont="1" applyFill="1"/>
  </cellXfs>
  <cellStyles count="1">
    <cellStyle name="Normal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11"/>
  <sheetViews>
    <sheetView showGridLines="0" workbookViewId="0">
      <selection activeCell="B24" sqref="B24"/>
    </sheetView>
  </sheetViews>
  <sheetFormatPr baseColWidth="10" defaultColWidth="8.83203125" defaultRowHeight="15" x14ac:dyDescent="0.2"/>
  <cols>
    <col min="1" max="1" width="28" customWidth="1"/>
    <col min="2" max="2" width="100" customWidth="1"/>
  </cols>
  <sheetData>
    <row r="1" spans="1:2" ht="29" x14ac:dyDescent="0.35">
      <c r="A1" s="22" t="s">
        <v>0</v>
      </c>
      <c r="B1" s="23"/>
    </row>
    <row r="3" spans="1:2" ht="16" x14ac:dyDescent="0.2">
      <c r="A3" s="8" t="s">
        <v>1</v>
      </c>
      <c r="B3" s="1" t="s">
        <v>2</v>
      </c>
    </row>
    <row r="4" spans="1:2" ht="16" x14ac:dyDescent="0.2">
      <c r="A4" s="8" t="s">
        <v>3</v>
      </c>
      <c r="B4" s="1" t="s">
        <v>4</v>
      </c>
    </row>
    <row r="5" spans="1:2" ht="16" x14ac:dyDescent="0.2">
      <c r="A5" s="8" t="s">
        <v>5</v>
      </c>
      <c r="B5" s="1" t="s">
        <v>619</v>
      </c>
    </row>
    <row r="6" spans="1:2" ht="16" x14ac:dyDescent="0.2">
      <c r="A6" s="8" t="s">
        <v>6</v>
      </c>
      <c r="B6" s="1" t="s">
        <v>7</v>
      </c>
    </row>
    <row r="7" spans="1:2" ht="16" x14ac:dyDescent="0.2">
      <c r="A7" s="8" t="s">
        <v>8</v>
      </c>
      <c r="B7" s="1" t="s">
        <v>9</v>
      </c>
    </row>
    <row r="8" spans="1:2" ht="16" x14ac:dyDescent="0.2">
      <c r="A8" s="8" t="s">
        <v>10</v>
      </c>
      <c r="B8" s="1" t="s">
        <v>11</v>
      </c>
    </row>
    <row r="9" spans="1:2" ht="16" x14ac:dyDescent="0.2">
      <c r="A9" s="8" t="s">
        <v>12</v>
      </c>
      <c r="B9" s="1" t="s">
        <v>13</v>
      </c>
    </row>
    <row r="10" spans="1:2" x14ac:dyDescent="0.2">
      <c r="A10" s="8"/>
      <c r="B10" s="1"/>
    </row>
    <row r="11" spans="1:2" ht="16" x14ac:dyDescent="0.2">
      <c r="A11" s="8" t="s">
        <v>14</v>
      </c>
      <c r="B11" s="1" t="s">
        <v>15</v>
      </c>
    </row>
  </sheetData>
  <mergeCells count="1">
    <mergeCell ref="A1:B1"/>
  </mergeCells>
  <pageMargins left="0.25" right="0.25" top="0.5" bottom="0.5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500"/>
  <sheetViews>
    <sheetView zoomScale="171" workbookViewId="0">
      <pane ySplit="1" topLeftCell="A86" activePane="bottomLeft" state="frozen"/>
      <selection pane="bottomLeft" activeCell="G170" sqref="G170"/>
    </sheetView>
  </sheetViews>
  <sheetFormatPr baseColWidth="10" defaultColWidth="8.83203125" defaultRowHeight="15" x14ac:dyDescent="0.2"/>
  <cols>
    <col min="1" max="1" width="11" customWidth="1"/>
    <col min="2" max="2" width="18" customWidth="1"/>
    <col min="3" max="3" width="31.5" customWidth="1"/>
    <col min="4" max="4" width="14.1640625" customWidth="1"/>
    <col min="5" max="6" width="12" customWidth="1"/>
    <col min="7" max="7" width="10.6640625" customWidth="1"/>
    <col min="8" max="8" width="8.6640625" customWidth="1"/>
    <col min="9" max="9" width="9.1640625" customWidth="1"/>
    <col min="10" max="10" width="9" customWidth="1"/>
    <col min="11" max="11" width="9.5" customWidth="1"/>
    <col min="12" max="12" width="12.1640625" customWidth="1"/>
    <col min="13" max="13" width="12.33203125" customWidth="1"/>
    <col min="14" max="14" width="11.33203125" customWidth="1"/>
    <col min="15" max="15" width="18" customWidth="1"/>
    <col min="16" max="16" width="16" customWidth="1"/>
    <col min="17" max="17" width="14" customWidth="1"/>
    <col min="18" max="18" width="18" customWidth="1"/>
    <col min="19" max="19" width="30" customWidth="1"/>
  </cols>
  <sheetData>
    <row r="1" spans="1:19" ht="45" customHeight="1" x14ac:dyDescent="0.2">
      <c r="A1" s="12" t="s">
        <v>16</v>
      </c>
      <c r="B1" s="12" t="s">
        <v>17</v>
      </c>
      <c r="C1" s="12" t="s">
        <v>18</v>
      </c>
      <c r="D1" s="12" t="s">
        <v>19</v>
      </c>
      <c r="E1" s="12" t="s">
        <v>20</v>
      </c>
      <c r="F1" s="12" t="s">
        <v>21</v>
      </c>
      <c r="G1" s="12" t="s">
        <v>760</v>
      </c>
      <c r="H1" s="12" t="s">
        <v>761</v>
      </c>
      <c r="I1" s="12" t="s">
        <v>795</v>
      </c>
      <c r="J1" s="12" t="s">
        <v>22</v>
      </c>
      <c r="K1" s="12" t="s">
        <v>23</v>
      </c>
      <c r="L1" s="12" t="s">
        <v>24</v>
      </c>
      <c r="M1" s="12" t="s">
        <v>25</v>
      </c>
      <c r="N1" s="12" t="s">
        <v>26</v>
      </c>
      <c r="O1" s="12" t="s">
        <v>27</v>
      </c>
      <c r="P1" s="12" t="s">
        <v>28</v>
      </c>
      <c r="Q1" s="12" t="s">
        <v>29</v>
      </c>
      <c r="R1" s="12" t="s">
        <v>30</v>
      </c>
      <c r="S1" s="12" t="s">
        <v>14</v>
      </c>
    </row>
    <row r="2" spans="1:19" ht="16" x14ac:dyDescent="0.2">
      <c r="A2" s="13" t="s">
        <v>31</v>
      </c>
      <c r="B2" s="14" t="s">
        <v>32</v>
      </c>
      <c r="C2" s="14" t="s">
        <v>33</v>
      </c>
      <c r="D2" s="14" t="s">
        <v>34</v>
      </c>
      <c r="E2" s="14" t="s">
        <v>757</v>
      </c>
      <c r="F2" s="14" t="s">
        <v>35</v>
      </c>
      <c r="G2" s="20">
        <v>500</v>
      </c>
      <c r="H2" s="19">
        <v>550</v>
      </c>
      <c r="I2" s="15">
        <v>650</v>
      </c>
      <c r="J2" s="16">
        <f>IF(COUNT(G2:I2)=0,"",ROUND(AVERAGE(G2:I2),0))</f>
        <v>567</v>
      </c>
      <c r="K2" s="16">
        <f>IF(J2="","",ROUND(J2/10,0)*10)</f>
        <v>570</v>
      </c>
      <c r="L2" s="16">
        <f>IF(K2="","",ROUND(K2*95%/10,0)*10)</f>
        <v>540</v>
      </c>
      <c r="M2" s="16">
        <f>IF(K2="","",ROUND(K2*92%/10,0)*10)</f>
        <v>520</v>
      </c>
      <c r="N2" s="16">
        <f>IF(K2="","",ROUND(K2*88%/10,0)*10)</f>
        <v>500</v>
      </c>
      <c r="O2" s="15"/>
      <c r="P2" s="16" t="str">
        <f>IF(OR(K2="",O2=""),"",K2-O2)</f>
        <v/>
      </c>
      <c r="Q2" s="17" t="str">
        <f>IF(OR(K2="",O2="",K2=0),"",P2/K2)</f>
        <v/>
      </c>
      <c r="R2" s="14" t="s">
        <v>36</v>
      </c>
      <c r="S2" s="14"/>
    </row>
    <row r="3" spans="1:19" ht="16" x14ac:dyDescent="0.2">
      <c r="A3" s="13" t="s">
        <v>37</v>
      </c>
      <c r="B3" s="14" t="s">
        <v>32</v>
      </c>
      <c r="C3" s="14" t="s">
        <v>38</v>
      </c>
      <c r="D3" s="14" t="s">
        <v>34</v>
      </c>
      <c r="E3" s="14" t="s">
        <v>758</v>
      </c>
      <c r="F3" s="14" t="s">
        <v>35</v>
      </c>
      <c r="G3" s="20">
        <v>650</v>
      </c>
      <c r="H3" s="15">
        <v>550</v>
      </c>
      <c r="I3" s="15">
        <v>650</v>
      </c>
      <c r="J3" s="16">
        <f t="shared" ref="J3:J18" si="0">IF(COUNT(G3:I3)=0,"",ROUND(AVERAGE(G3:I3),0))</f>
        <v>617</v>
      </c>
      <c r="K3" s="16">
        <f t="shared" ref="K3:K44" si="1">IF(J3="","",ROUND(J3/10,0)*10)</f>
        <v>620</v>
      </c>
      <c r="L3" s="16">
        <f t="shared" ref="L3:L68" si="2">IF(K3="","",ROUND(K3*95%/10,0)*10)</f>
        <v>590</v>
      </c>
      <c r="M3" s="16">
        <f t="shared" ref="M3:M18" si="3">IF(K3="","",ROUND(K3*92%/10,0)*10)</f>
        <v>570</v>
      </c>
      <c r="N3" s="16">
        <f t="shared" ref="N3:N18" si="4">IF(K3="","",ROUND(K3*88%/10,0)*10)</f>
        <v>550</v>
      </c>
      <c r="O3" s="15"/>
      <c r="P3" s="16" t="str">
        <f t="shared" ref="P3:P18" si="5">IF(OR(K3="",O3=""),"",K3-O3)</f>
        <v/>
      </c>
      <c r="Q3" s="17" t="str">
        <f t="shared" ref="Q3:Q18" si="6">IF(OR(K3="",O3="",K3=0),"",P3/K3)</f>
        <v/>
      </c>
      <c r="R3" s="14" t="s">
        <v>36</v>
      </c>
      <c r="S3" s="14"/>
    </row>
    <row r="4" spans="1:19" ht="16" x14ac:dyDescent="0.2">
      <c r="A4" s="13" t="s">
        <v>39</v>
      </c>
      <c r="B4" s="14" t="s">
        <v>32</v>
      </c>
      <c r="C4" s="14" t="s">
        <v>759</v>
      </c>
      <c r="D4" s="14" t="s">
        <v>34</v>
      </c>
      <c r="E4" s="14" t="s">
        <v>76</v>
      </c>
      <c r="F4" s="14" t="s">
        <v>82</v>
      </c>
      <c r="G4" s="15"/>
      <c r="H4" s="15"/>
      <c r="I4" s="15">
        <v>800</v>
      </c>
      <c r="J4" s="16">
        <f t="shared" ref="J4" si="7">IF(COUNT(G4:I4)=0,"",ROUND(AVERAGE(G4:I4),0))</f>
        <v>800</v>
      </c>
      <c r="K4" s="16">
        <f t="shared" si="1"/>
        <v>800</v>
      </c>
      <c r="L4" s="16">
        <f t="shared" si="2"/>
        <v>760</v>
      </c>
      <c r="M4" s="16">
        <f t="shared" ref="M4" si="8">IF(K4="","",ROUND(K4*92%/10,0)*10)</f>
        <v>740</v>
      </c>
      <c r="N4" s="16">
        <f t="shared" ref="N4" si="9">IF(K4="","",ROUND(K4*88%/10,0)*10)</f>
        <v>700</v>
      </c>
      <c r="O4" s="15"/>
      <c r="P4" s="16" t="str">
        <f t="shared" si="5"/>
        <v/>
      </c>
      <c r="Q4" s="17" t="str">
        <f t="shared" si="6"/>
        <v/>
      </c>
      <c r="R4" s="14" t="s">
        <v>36</v>
      </c>
      <c r="S4" s="14"/>
    </row>
    <row r="5" spans="1:19" ht="16" x14ac:dyDescent="0.2">
      <c r="A5" s="13" t="s">
        <v>40</v>
      </c>
      <c r="B5" s="14" t="s">
        <v>32</v>
      </c>
      <c r="C5" s="14" t="s">
        <v>688</v>
      </c>
      <c r="D5" s="14" t="s">
        <v>623</v>
      </c>
      <c r="E5" s="14" t="s">
        <v>806</v>
      </c>
      <c r="F5" s="14" t="s">
        <v>82</v>
      </c>
      <c r="G5" s="15">
        <v>600</v>
      </c>
      <c r="H5" s="15">
        <v>670</v>
      </c>
      <c r="I5" s="15">
        <v>750</v>
      </c>
      <c r="J5" s="16">
        <f t="shared" si="0"/>
        <v>673</v>
      </c>
      <c r="K5" s="16">
        <f t="shared" si="1"/>
        <v>670</v>
      </c>
      <c r="L5" s="16">
        <f t="shared" si="2"/>
        <v>640</v>
      </c>
      <c r="M5" s="16">
        <f t="shared" si="3"/>
        <v>620</v>
      </c>
      <c r="N5" s="16">
        <f t="shared" si="4"/>
        <v>590</v>
      </c>
      <c r="O5" s="15"/>
      <c r="P5" s="16" t="str">
        <f t="shared" si="5"/>
        <v/>
      </c>
      <c r="Q5" s="17" t="str">
        <f t="shared" si="6"/>
        <v/>
      </c>
      <c r="R5" s="14" t="s">
        <v>36</v>
      </c>
      <c r="S5" s="14"/>
    </row>
    <row r="6" spans="1:19" ht="16" x14ac:dyDescent="0.2">
      <c r="A6" s="13" t="s">
        <v>41</v>
      </c>
      <c r="B6" s="14" t="s">
        <v>32</v>
      </c>
      <c r="C6" s="14" t="s">
        <v>805</v>
      </c>
      <c r="D6" s="14" t="s">
        <v>127</v>
      </c>
      <c r="E6" s="14" t="s">
        <v>76</v>
      </c>
      <c r="F6" s="14" t="s">
        <v>82</v>
      </c>
      <c r="G6" s="15">
        <v>130</v>
      </c>
      <c r="H6" s="15"/>
      <c r="I6" s="15">
        <v>150</v>
      </c>
      <c r="J6" s="16">
        <f t="shared" si="0"/>
        <v>140</v>
      </c>
      <c r="K6" s="16">
        <f t="shared" si="1"/>
        <v>140</v>
      </c>
      <c r="L6" s="16">
        <f t="shared" si="2"/>
        <v>130</v>
      </c>
      <c r="M6" s="16">
        <f t="shared" si="3"/>
        <v>130</v>
      </c>
      <c r="N6" s="16">
        <f t="shared" si="4"/>
        <v>120</v>
      </c>
      <c r="O6" s="15"/>
      <c r="P6" s="16" t="str">
        <f t="shared" si="5"/>
        <v/>
      </c>
      <c r="Q6" s="17" t="str">
        <f t="shared" si="6"/>
        <v/>
      </c>
      <c r="R6" s="14" t="s">
        <v>36</v>
      </c>
      <c r="S6" s="14"/>
    </row>
    <row r="7" spans="1:19" ht="16" x14ac:dyDescent="0.2">
      <c r="A7" s="13" t="s">
        <v>42</v>
      </c>
      <c r="B7" s="14" t="s">
        <v>32</v>
      </c>
      <c r="C7" s="14" t="s">
        <v>624</v>
      </c>
      <c r="D7" s="14" t="s">
        <v>127</v>
      </c>
      <c r="E7" s="14" t="s">
        <v>804</v>
      </c>
      <c r="F7" s="14" t="s">
        <v>35</v>
      </c>
      <c r="G7" s="15">
        <v>610</v>
      </c>
      <c r="H7" s="21">
        <v>645</v>
      </c>
      <c r="I7" s="15">
        <v>700</v>
      </c>
      <c r="J7" s="16">
        <f t="shared" si="0"/>
        <v>652</v>
      </c>
      <c r="K7" s="16">
        <f t="shared" si="1"/>
        <v>650</v>
      </c>
      <c r="L7" s="16">
        <f t="shared" si="2"/>
        <v>620</v>
      </c>
      <c r="M7" s="16">
        <f t="shared" si="3"/>
        <v>600</v>
      </c>
      <c r="N7" s="16">
        <f t="shared" si="4"/>
        <v>570</v>
      </c>
      <c r="O7" s="15"/>
      <c r="P7" s="16" t="str">
        <f t="shared" si="5"/>
        <v/>
      </c>
      <c r="Q7" s="17" t="str">
        <f t="shared" si="6"/>
        <v/>
      </c>
      <c r="R7" s="14" t="s">
        <v>36</v>
      </c>
      <c r="S7" s="14"/>
    </row>
    <row r="8" spans="1:19" ht="16" x14ac:dyDescent="0.2">
      <c r="A8" s="13" t="s">
        <v>44</v>
      </c>
      <c r="B8" s="14" t="s">
        <v>32</v>
      </c>
      <c r="C8" s="14" t="s">
        <v>625</v>
      </c>
      <c r="D8" s="14" t="s">
        <v>127</v>
      </c>
      <c r="E8" s="14" t="s">
        <v>804</v>
      </c>
      <c r="F8" s="14" t="s">
        <v>35</v>
      </c>
      <c r="G8" s="15"/>
      <c r="H8" s="21">
        <v>645</v>
      </c>
      <c r="I8" s="15"/>
      <c r="J8" s="16">
        <f t="shared" si="0"/>
        <v>645</v>
      </c>
      <c r="K8" s="16">
        <f t="shared" si="1"/>
        <v>650</v>
      </c>
      <c r="L8" s="16">
        <f t="shared" si="2"/>
        <v>620</v>
      </c>
      <c r="M8" s="16">
        <f t="shared" si="3"/>
        <v>600</v>
      </c>
      <c r="N8" s="16">
        <f t="shared" si="4"/>
        <v>570</v>
      </c>
      <c r="O8" s="15"/>
      <c r="P8" s="16" t="str">
        <f t="shared" si="5"/>
        <v/>
      </c>
      <c r="Q8" s="17" t="str">
        <f t="shared" si="6"/>
        <v/>
      </c>
      <c r="R8" s="14" t="s">
        <v>36</v>
      </c>
      <c r="S8" s="14"/>
    </row>
    <row r="9" spans="1:19" ht="16" x14ac:dyDescent="0.2">
      <c r="A9" s="13" t="s">
        <v>45</v>
      </c>
      <c r="B9" s="14" t="s">
        <v>32</v>
      </c>
      <c r="C9" s="14" t="s">
        <v>626</v>
      </c>
      <c r="D9" s="14" t="s">
        <v>137</v>
      </c>
      <c r="E9" s="14" t="s">
        <v>76</v>
      </c>
      <c r="F9" s="14" t="s">
        <v>82</v>
      </c>
      <c r="H9" s="20">
        <v>900</v>
      </c>
      <c r="I9" s="15">
        <v>1000</v>
      </c>
      <c r="J9" s="16">
        <f t="shared" ref="J9:J16" si="10">IF(COUNT(H9:I9)=0,"",ROUND(AVERAGE(H9:I9),0))</f>
        <v>950</v>
      </c>
      <c r="K9" s="16">
        <f t="shared" si="1"/>
        <v>950</v>
      </c>
      <c r="L9" s="16">
        <f t="shared" si="2"/>
        <v>900</v>
      </c>
      <c r="M9" s="16">
        <f t="shared" si="3"/>
        <v>870</v>
      </c>
      <c r="N9" s="16">
        <f t="shared" si="4"/>
        <v>840</v>
      </c>
      <c r="O9" s="15"/>
      <c r="P9" s="16" t="str">
        <f t="shared" si="5"/>
        <v/>
      </c>
      <c r="Q9" s="17" t="str">
        <f t="shared" si="6"/>
        <v/>
      </c>
      <c r="R9" s="14" t="s">
        <v>36</v>
      </c>
      <c r="S9" s="14"/>
    </row>
    <row r="10" spans="1:19" ht="16" x14ac:dyDescent="0.2">
      <c r="A10" s="13" t="s">
        <v>46</v>
      </c>
      <c r="B10" s="14" t="s">
        <v>32</v>
      </c>
      <c r="C10" s="14" t="s">
        <v>627</v>
      </c>
      <c r="D10" s="14" t="s">
        <v>137</v>
      </c>
      <c r="E10" s="14" t="s">
        <v>76</v>
      </c>
      <c r="F10" s="14" t="s">
        <v>82</v>
      </c>
      <c r="H10" s="20">
        <v>900</v>
      </c>
      <c r="I10" s="15">
        <v>1000</v>
      </c>
      <c r="J10" s="16">
        <f t="shared" si="10"/>
        <v>950</v>
      </c>
      <c r="K10" s="16">
        <f t="shared" si="1"/>
        <v>950</v>
      </c>
      <c r="L10" s="16">
        <f t="shared" si="2"/>
        <v>900</v>
      </c>
      <c r="M10" s="16">
        <f t="shared" si="3"/>
        <v>870</v>
      </c>
      <c r="N10" s="16">
        <f t="shared" si="4"/>
        <v>840</v>
      </c>
      <c r="O10" s="15"/>
      <c r="P10" s="16" t="str">
        <f t="shared" si="5"/>
        <v/>
      </c>
      <c r="Q10" s="17" t="str">
        <f t="shared" si="6"/>
        <v/>
      </c>
      <c r="R10" s="14" t="s">
        <v>36</v>
      </c>
      <c r="S10" s="14"/>
    </row>
    <row r="11" spans="1:19" ht="16" x14ac:dyDescent="0.2">
      <c r="A11" s="13" t="s">
        <v>47</v>
      </c>
      <c r="B11" s="14" t="s">
        <v>32</v>
      </c>
      <c r="C11" s="14" t="s">
        <v>628</v>
      </c>
      <c r="D11" s="14" t="s">
        <v>137</v>
      </c>
      <c r="E11" s="14" t="s">
        <v>76</v>
      </c>
      <c r="F11" s="14" t="s">
        <v>82</v>
      </c>
      <c r="H11" s="20">
        <v>900</v>
      </c>
      <c r="I11" s="15">
        <v>1000</v>
      </c>
      <c r="J11" s="16">
        <f t="shared" si="10"/>
        <v>950</v>
      </c>
      <c r="K11" s="16">
        <f t="shared" si="1"/>
        <v>950</v>
      </c>
      <c r="L11" s="16">
        <f t="shared" si="2"/>
        <v>900</v>
      </c>
      <c r="M11" s="16">
        <f t="shared" si="3"/>
        <v>870</v>
      </c>
      <c r="N11" s="16">
        <f t="shared" si="4"/>
        <v>840</v>
      </c>
      <c r="O11" s="15"/>
      <c r="P11" s="16" t="str">
        <f t="shared" si="5"/>
        <v/>
      </c>
      <c r="Q11" s="17" t="str">
        <f t="shared" si="6"/>
        <v/>
      </c>
      <c r="R11" s="14" t="s">
        <v>36</v>
      </c>
      <c r="S11" s="14"/>
    </row>
    <row r="12" spans="1:19" ht="16" x14ac:dyDescent="0.2">
      <c r="A12" s="13" t="s">
        <v>48</v>
      </c>
      <c r="B12" s="14" t="s">
        <v>32</v>
      </c>
      <c r="C12" s="14" t="s">
        <v>629</v>
      </c>
      <c r="D12" s="14" t="s">
        <v>137</v>
      </c>
      <c r="E12" s="14" t="s">
        <v>76</v>
      </c>
      <c r="F12" s="14" t="s">
        <v>82</v>
      </c>
      <c r="H12" s="20">
        <v>900</v>
      </c>
      <c r="I12" s="15">
        <v>1000</v>
      </c>
      <c r="J12" s="16">
        <f t="shared" si="10"/>
        <v>950</v>
      </c>
      <c r="K12" s="16">
        <f t="shared" si="1"/>
        <v>950</v>
      </c>
      <c r="L12" s="16">
        <f t="shared" si="2"/>
        <v>900</v>
      </c>
      <c r="M12" s="16">
        <f t="shared" si="3"/>
        <v>870</v>
      </c>
      <c r="N12" s="16">
        <f t="shared" si="4"/>
        <v>840</v>
      </c>
      <c r="O12" s="15"/>
      <c r="P12" s="16" t="str">
        <f t="shared" si="5"/>
        <v/>
      </c>
      <c r="Q12" s="17" t="str">
        <f t="shared" si="6"/>
        <v/>
      </c>
      <c r="R12" s="14" t="s">
        <v>36</v>
      </c>
      <c r="S12" s="14"/>
    </row>
    <row r="13" spans="1:19" ht="16" x14ac:dyDescent="0.2">
      <c r="A13" s="13" t="s">
        <v>51</v>
      </c>
      <c r="B13" s="14" t="s">
        <v>32</v>
      </c>
      <c r="C13" s="14" t="s">
        <v>630</v>
      </c>
      <c r="D13" s="14" t="s">
        <v>137</v>
      </c>
      <c r="E13" s="14" t="s">
        <v>76</v>
      </c>
      <c r="F13" s="14" t="s">
        <v>82</v>
      </c>
      <c r="H13" s="20">
        <v>900</v>
      </c>
      <c r="I13" s="15">
        <v>1000</v>
      </c>
      <c r="J13" s="16">
        <f t="shared" si="10"/>
        <v>950</v>
      </c>
      <c r="K13" s="16">
        <f t="shared" si="1"/>
        <v>950</v>
      </c>
      <c r="L13" s="16">
        <f t="shared" si="2"/>
        <v>900</v>
      </c>
      <c r="M13" s="16">
        <f t="shared" si="3"/>
        <v>870</v>
      </c>
      <c r="N13" s="16">
        <f t="shared" si="4"/>
        <v>840</v>
      </c>
      <c r="O13" s="15"/>
      <c r="P13" s="16" t="str">
        <f t="shared" si="5"/>
        <v/>
      </c>
      <c r="Q13" s="17" t="str">
        <f t="shared" si="6"/>
        <v/>
      </c>
      <c r="R13" s="14" t="s">
        <v>36</v>
      </c>
      <c r="S13" s="14"/>
    </row>
    <row r="14" spans="1:19" ht="16" x14ac:dyDescent="0.2">
      <c r="A14" s="13" t="s">
        <v>52</v>
      </c>
      <c r="B14" s="14" t="s">
        <v>32</v>
      </c>
      <c r="C14" s="14" t="s">
        <v>631</v>
      </c>
      <c r="D14" s="14" t="s">
        <v>137</v>
      </c>
      <c r="E14" s="14" t="s">
        <v>76</v>
      </c>
      <c r="F14" s="14" t="s">
        <v>82</v>
      </c>
      <c r="H14" s="20">
        <v>900</v>
      </c>
      <c r="I14" s="15">
        <v>1000</v>
      </c>
      <c r="J14" s="16">
        <f t="shared" si="10"/>
        <v>950</v>
      </c>
      <c r="K14" s="16">
        <f t="shared" si="1"/>
        <v>950</v>
      </c>
      <c r="L14" s="16">
        <f t="shared" si="2"/>
        <v>900</v>
      </c>
      <c r="M14" s="16">
        <f t="shared" si="3"/>
        <v>870</v>
      </c>
      <c r="N14" s="16">
        <f t="shared" si="4"/>
        <v>840</v>
      </c>
      <c r="O14" s="15"/>
      <c r="P14" s="16" t="str">
        <f t="shared" si="5"/>
        <v/>
      </c>
      <c r="Q14" s="17" t="str">
        <f t="shared" si="6"/>
        <v/>
      </c>
      <c r="R14" s="14" t="s">
        <v>36</v>
      </c>
      <c r="S14" s="14"/>
    </row>
    <row r="15" spans="1:19" ht="16" x14ac:dyDescent="0.2">
      <c r="A15" s="13" t="s">
        <v>54</v>
      </c>
      <c r="B15" s="14" t="s">
        <v>32</v>
      </c>
      <c r="C15" s="14" t="s">
        <v>632</v>
      </c>
      <c r="D15" s="14" t="s">
        <v>137</v>
      </c>
      <c r="E15" s="14" t="s">
        <v>76</v>
      </c>
      <c r="F15" s="14" t="s">
        <v>82</v>
      </c>
      <c r="H15" s="20">
        <v>900</v>
      </c>
      <c r="I15" s="15">
        <v>1000</v>
      </c>
      <c r="J15" s="16">
        <f t="shared" si="10"/>
        <v>950</v>
      </c>
      <c r="K15" s="16">
        <f t="shared" si="1"/>
        <v>950</v>
      </c>
      <c r="L15" s="16">
        <f t="shared" si="2"/>
        <v>900</v>
      </c>
      <c r="M15" s="16">
        <f t="shared" si="3"/>
        <v>870</v>
      </c>
      <c r="N15" s="16">
        <f t="shared" si="4"/>
        <v>840</v>
      </c>
      <c r="O15" s="15"/>
      <c r="P15" s="16" t="str">
        <f t="shared" si="5"/>
        <v/>
      </c>
      <c r="Q15" s="17" t="str">
        <f t="shared" si="6"/>
        <v/>
      </c>
      <c r="R15" s="14" t="s">
        <v>36</v>
      </c>
      <c r="S15" s="14"/>
    </row>
    <row r="16" spans="1:19" ht="16" x14ac:dyDescent="0.2">
      <c r="A16" s="13" t="s">
        <v>55</v>
      </c>
      <c r="B16" s="14" t="s">
        <v>32</v>
      </c>
      <c r="C16" s="14" t="s">
        <v>633</v>
      </c>
      <c r="D16" s="14" t="s">
        <v>137</v>
      </c>
      <c r="E16" s="14" t="s">
        <v>76</v>
      </c>
      <c r="F16" s="14" t="s">
        <v>82</v>
      </c>
      <c r="H16" s="20">
        <v>900</v>
      </c>
      <c r="I16" s="15">
        <v>1000</v>
      </c>
      <c r="J16" s="16">
        <f t="shared" si="10"/>
        <v>950</v>
      </c>
      <c r="K16" s="16">
        <f t="shared" si="1"/>
        <v>950</v>
      </c>
      <c r="L16" s="16">
        <f t="shared" si="2"/>
        <v>900</v>
      </c>
      <c r="M16" s="16">
        <f t="shared" si="3"/>
        <v>870</v>
      </c>
      <c r="N16" s="16">
        <f t="shared" si="4"/>
        <v>840</v>
      </c>
      <c r="O16" s="15"/>
      <c r="P16" s="16" t="str">
        <f t="shared" si="5"/>
        <v/>
      </c>
      <c r="Q16" s="17" t="str">
        <f t="shared" si="6"/>
        <v/>
      </c>
      <c r="R16" s="14" t="s">
        <v>36</v>
      </c>
      <c r="S16" s="14"/>
    </row>
    <row r="17" spans="1:19" ht="16" x14ac:dyDescent="0.2">
      <c r="A17" s="13" t="s">
        <v>57</v>
      </c>
      <c r="B17" s="14" t="s">
        <v>104</v>
      </c>
      <c r="C17" s="14" t="s">
        <v>651</v>
      </c>
      <c r="D17" s="14" t="s">
        <v>808</v>
      </c>
      <c r="E17" s="14" t="s">
        <v>763</v>
      </c>
      <c r="F17" s="14" t="s">
        <v>50</v>
      </c>
      <c r="G17" s="20">
        <v>121</v>
      </c>
      <c r="H17" s="15">
        <v>150</v>
      </c>
      <c r="I17" s="20">
        <v>150</v>
      </c>
      <c r="J17" s="16">
        <f t="shared" si="0"/>
        <v>140</v>
      </c>
      <c r="K17" s="16">
        <f t="shared" si="1"/>
        <v>140</v>
      </c>
      <c r="L17" s="16">
        <f t="shared" si="2"/>
        <v>130</v>
      </c>
      <c r="M17" s="16">
        <f t="shared" si="3"/>
        <v>130</v>
      </c>
      <c r="N17" s="16">
        <f t="shared" si="4"/>
        <v>120</v>
      </c>
      <c r="O17" s="15"/>
      <c r="P17" s="16" t="str">
        <f t="shared" si="5"/>
        <v/>
      </c>
      <c r="Q17" s="17" t="str">
        <f t="shared" si="6"/>
        <v/>
      </c>
      <c r="R17" s="14" t="s">
        <v>36</v>
      </c>
      <c r="S17" s="14"/>
    </row>
    <row r="18" spans="1:19" ht="16" x14ac:dyDescent="0.2">
      <c r="A18" s="13" t="s">
        <v>59</v>
      </c>
      <c r="B18" s="14" t="s">
        <v>104</v>
      </c>
      <c r="C18" s="14" t="s">
        <v>652</v>
      </c>
      <c r="D18" s="14" t="s">
        <v>808</v>
      </c>
      <c r="E18" s="14" t="s">
        <v>763</v>
      </c>
      <c r="F18" s="14" t="s">
        <v>50</v>
      </c>
      <c r="G18" s="20">
        <v>121</v>
      </c>
      <c r="H18" s="15">
        <v>150</v>
      </c>
      <c r="I18" s="20">
        <v>150</v>
      </c>
      <c r="J18" s="16">
        <f t="shared" si="0"/>
        <v>140</v>
      </c>
      <c r="K18" s="16">
        <f t="shared" si="1"/>
        <v>140</v>
      </c>
      <c r="L18" s="16">
        <f t="shared" si="2"/>
        <v>130</v>
      </c>
      <c r="M18" s="16">
        <f t="shared" si="3"/>
        <v>130</v>
      </c>
      <c r="N18" s="16">
        <f t="shared" si="4"/>
        <v>120</v>
      </c>
      <c r="O18" s="15"/>
      <c r="P18" s="16" t="str">
        <f t="shared" si="5"/>
        <v/>
      </c>
      <c r="Q18" s="17" t="str">
        <f t="shared" si="6"/>
        <v/>
      </c>
      <c r="R18" s="14" t="s">
        <v>36</v>
      </c>
      <c r="S18" s="14"/>
    </row>
    <row r="19" spans="1:19" ht="16" x14ac:dyDescent="0.2">
      <c r="A19" s="13" t="s">
        <v>60</v>
      </c>
      <c r="B19" s="14" t="s">
        <v>104</v>
      </c>
      <c r="C19" s="14" t="s">
        <v>653</v>
      </c>
      <c r="D19" s="14" t="s">
        <v>808</v>
      </c>
      <c r="E19" s="14" t="s">
        <v>763</v>
      </c>
      <c r="F19" s="14" t="s">
        <v>50</v>
      </c>
      <c r="G19" s="20">
        <v>121</v>
      </c>
      <c r="H19" s="15">
        <v>150</v>
      </c>
      <c r="I19" s="20">
        <v>150</v>
      </c>
      <c r="J19" s="16">
        <f>IF(COUNT(G19:I19)=0,"",ROUND(AVERAGE(G19:I19),0))</f>
        <v>140</v>
      </c>
      <c r="K19" s="16">
        <f>IF(J19="","",ROUND(J19/10,0)*10)</f>
        <v>140</v>
      </c>
      <c r="L19" s="16">
        <f>IF(K19="","",ROUND(K19*95%/10,0)*10)</f>
        <v>130</v>
      </c>
      <c r="M19" s="16">
        <f>IF(K19="","",ROUND(K19*92%/10,0)*10)</f>
        <v>130</v>
      </c>
      <c r="N19" s="16">
        <f>IF(K19="","",ROUND(K19*88%/10,0)*10)</f>
        <v>120</v>
      </c>
      <c r="O19" s="15"/>
      <c r="P19" s="16" t="str">
        <f>IF(OR(K19="",O19=""),"",K19-O19)</f>
        <v/>
      </c>
      <c r="Q19" s="17" t="str">
        <f>IF(OR(K19="",O19="",K19=0),"",P19/K19)</f>
        <v/>
      </c>
      <c r="R19" s="14" t="s">
        <v>36</v>
      </c>
      <c r="S19" s="14"/>
    </row>
    <row r="20" spans="1:19" ht="16" x14ac:dyDescent="0.2">
      <c r="A20" s="13" t="s">
        <v>62</v>
      </c>
      <c r="B20" s="14" t="s">
        <v>104</v>
      </c>
      <c r="C20" s="14" t="s">
        <v>654</v>
      </c>
      <c r="D20" s="14" t="s">
        <v>808</v>
      </c>
      <c r="E20" s="14" t="s">
        <v>763</v>
      </c>
      <c r="F20" s="14" t="s">
        <v>50</v>
      </c>
      <c r="G20" s="20">
        <v>121</v>
      </c>
      <c r="H20" s="15">
        <v>150</v>
      </c>
      <c r="I20" s="20">
        <v>150</v>
      </c>
      <c r="J20" s="16">
        <f t="shared" ref="J20:J27" si="11">IF(COUNT(G20:I20)=0,"",ROUND(AVERAGE(G20:I20),0))</f>
        <v>140</v>
      </c>
      <c r="K20" s="16">
        <f t="shared" si="1"/>
        <v>140</v>
      </c>
      <c r="L20" s="16">
        <f t="shared" si="2"/>
        <v>130</v>
      </c>
      <c r="M20" s="16">
        <f t="shared" ref="M20:M31" si="12">IF(K20="","",ROUND(K20*92%/10,0)*10)</f>
        <v>130</v>
      </c>
      <c r="N20" s="16">
        <f t="shared" ref="N20:N31" si="13">IF(K20="","",ROUND(K20*88%/10,0)*10)</f>
        <v>120</v>
      </c>
      <c r="O20" s="15"/>
      <c r="P20" s="16" t="str">
        <f t="shared" ref="P20:P31" si="14">IF(OR(K20="",O20=""),"",K20-O20)</f>
        <v/>
      </c>
      <c r="Q20" s="17" t="str">
        <f t="shared" ref="Q20:Q31" si="15">IF(OR(K20="",O20="",K20=0),"",P20/K20)</f>
        <v/>
      </c>
      <c r="R20" s="14" t="s">
        <v>36</v>
      </c>
      <c r="S20" s="14"/>
    </row>
    <row r="21" spans="1:19" ht="16" x14ac:dyDescent="0.2">
      <c r="A21" s="13" t="s">
        <v>64</v>
      </c>
      <c r="B21" s="14" t="s">
        <v>104</v>
      </c>
      <c r="C21" s="14" t="s">
        <v>655</v>
      </c>
      <c r="D21" s="14" t="s">
        <v>808</v>
      </c>
      <c r="E21" s="14" t="s">
        <v>763</v>
      </c>
      <c r="F21" s="14" t="s">
        <v>50</v>
      </c>
      <c r="G21" s="20">
        <v>121</v>
      </c>
      <c r="H21" s="15">
        <v>150</v>
      </c>
      <c r="I21" s="20">
        <v>150</v>
      </c>
      <c r="J21" s="16">
        <f t="shared" si="11"/>
        <v>140</v>
      </c>
      <c r="K21" s="16">
        <f t="shared" si="1"/>
        <v>140</v>
      </c>
      <c r="L21" s="16">
        <f t="shared" si="2"/>
        <v>130</v>
      </c>
      <c r="M21" s="16">
        <f t="shared" si="12"/>
        <v>130</v>
      </c>
      <c r="N21" s="16">
        <f t="shared" si="13"/>
        <v>120</v>
      </c>
      <c r="O21" s="15"/>
      <c r="P21" s="16" t="str">
        <f t="shared" si="14"/>
        <v/>
      </c>
      <c r="Q21" s="17" t="str">
        <f t="shared" si="15"/>
        <v/>
      </c>
      <c r="R21" s="14" t="s">
        <v>36</v>
      </c>
      <c r="S21" s="14"/>
    </row>
    <row r="22" spans="1:19" ht="16" x14ac:dyDescent="0.2">
      <c r="A22" s="13" t="s">
        <v>65</v>
      </c>
      <c r="B22" s="14" t="s">
        <v>104</v>
      </c>
      <c r="C22" s="14" t="s">
        <v>111</v>
      </c>
      <c r="D22" s="14" t="s">
        <v>808</v>
      </c>
      <c r="E22" s="14" t="s">
        <v>763</v>
      </c>
      <c r="F22" s="14" t="s">
        <v>50</v>
      </c>
      <c r="G22" s="20">
        <v>121</v>
      </c>
      <c r="H22" s="15">
        <v>150</v>
      </c>
      <c r="I22" s="20">
        <v>150</v>
      </c>
      <c r="J22" s="16">
        <f t="shared" si="11"/>
        <v>140</v>
      </c>
      <c r="K22" s="16">
        <f t="shared" si="1"/>
        <v>140</v>
      </c>
      <c r="L22" s="16">
        <f t="shared" si="2"/>
        <v>130</v>
      </c>
      <c r="M22" s="16">
        <f t="shared" si="12"/>
        <v>130</v>
      </c>
      <c r="N22" s="16">
        <f t="shared" si="13"/>
        <v>120</v>
      </c>
      <c r="O22" s="15"/>
      <c r="P22" s="16" t="str">
        <f t="shared" si="14"/>
        <v/>
      </c>
      <c r="Q22" s="17" t="str">
        <f t="shared" si="15"/>
        <v/>
      </c>
      <c r="R22" s="14" t="s">
        <v>36</v>
      </c>
      <c r="S22" s="14"/>
    </row>
    <row r="23" spans="1:19" ht="16" x14ac:dyDescent="0.2">
      <c r="A23" s="13" t="s">
        <v>66</v>
      </c>
      <c r="B23" s="14" t="s">
        <v>104</v>
      </c>
      <c r="C23" s="14" t="s">
        <v>108</v>
      </c>
      <c r="D23" s="14" t="s">
        <v>808</v>
      </c>
      <c r="E23" s="14" t="s">
        <v>763</v>
      </c>
      <c r="F23" s="14" t="s">
        <v>50</v>
      </c>
      <c r="G23" s="20">
        <v>121</v>
      </c>
      <c r="H23" s="15">
        <v>150</v>
      </c>
      <c r="I23" s="20">
        <v>150</v>
      </c>
      <c r="J23" s="16">
        <f t="shared" si="11"/>
        <v>140</v>
      </c>
      <c r="K23" s="16">
        <f t="shared" si="1"/>
        <v>140</v>
      </c>
      <c r="L23" s="16">
        <f t="shared" si="2"/>
        <v>130</v>
      </c>
      <c r="M23" s="16">
        <f t="shared" si="12"/>
        <v>130</v>
      </c>
      <c r="N23" s="16">
        <f t="shared" si="13"/>
        <v>120</v>
      </c>
      <c r="O23" s="15"/>
      <c r="P23" s="16" t="str">
        <f t="shared" si="14"/>
        <v/>
      </c>
      <c r="Q23" s="17" t="str">
        <f t="shared" si="15"/>
        <v/>
      </c>
      <c r="R23" s="14" t="s">
        <v>36</v>
      </c>
      <c r="S23" s="14"/>
    </row>
    <row r="24" spans="1:19" ht="16" x14ac:dyDescent="0.2">
      <c r="A24" s="13" t="s">
        <v>67</v>
      </c>
      <c r="B24" s="14" t="s">
        <v>104</v>
      </c>
      <c r="C24" s="14" t="s">
        <v>113</v>
      </c>
      <c r="D24" s="14" t="s">
        <v>808</v>
      </c>
      <c r="E24" s="14" t="s">
        <v>763</v>
      </c>
      <c r="F24" s="14" t="s">
        <v>50</v>
      </c>
      <c r="G24" s="20">
        <v>121</v>
      </c>
      <c r="H24" s="15">
        <v>150</v>
      </c>
      <c r="I24" s="20">
        <v>150</v>
      </c>
      <c r="J24" s="16">
        <f t="shared" si="11"/>
        <v>140</v>
      </c>
      <c r="K24" s="16">
        <f t="shared" si="1"/>
        <v>140</v>
      </c>
      <c r="L24" s="16">
        <f t="shared" si="2"/>
        <v>130</v>
      </c>
      <c r="M24" s="16">
        <f t="shared" si="12"/>
        <v>130</v>
      </c>
      <c r="N24" s="16">
        <f t="shared" si="13"/>
        <v>120</v>
      </c>
      <c r="O24" s="15"/>
      <c r="P24" s="16" t="str">
        <f t="shared" si="14"/>
        <v/>
      </c>
      <c r="Q24" s="17" t="str">
        <f t="shared" si="15"/>
        <v/>
      </c>
      <c r="R24" s="14" t="s">
        <v>36</v>
      </c>
      <c r="S24" s="14"/>
    </row>
    <row r="25" spans="1:19" ht="16" x14ac:dyDescent="0.2">
      <c r="A25" s="13" t="s">
        <v>68</v>
      </c>
      <c r="B25" s="14" t="s">
        <v>104</v>
      </c>
      <c r="C25" s="14" t="s">
        <v>656</v>
      </c>
      <c r="D25" s="14" t="s">
        <v>808</v>
      </c>
      <c r="E25" s="14" t="s">
        <v>763</v>
      </c>
      <c r="F25" s="14" t="s">
        <v>50</v>
      </c>
      <c r="G25" s="20">
        <v>121</v>
      </c>
      <c r="H25" s="15">
        <v>150</v>
      </c>
      <c r="I25" s="20">
        <v>150</v>
      </c>
      <c r="J25" s="16">
        <f t="shared" si="11"/>
        <v>140</v>
      </c>
      <c r="K25" s="16">
        <f t="shared" si="1"/>
        <v>140</v>
      </c>
      <c r="L25" s="16">
        <f t="shared" si="2"/>
        <v>130</v>
      </c>
      <c r="M25" s="16">
        <f t="shared" si="12"/>
        <v>130</v>
      </c>
      <c r="N25" s="16">
        <f t="shared" si="13"/>
        <v>120</v>
      </c>
      <c r="O25" s="15"/>
      <c r="P25" s="16" t="str">
        <f t="shared" si="14"/>
        <v/>
      </c>
      <c r="Q25" s="17" t="str">
        <f t="shared" si="15"/>
        <v/>
      </c>
      <c r="R25" s="14" t="s">
        <v>36</v>
      </c>
      <c r="S25" s="14"/>
    </row>
    <row r="26" spans="1:19" ht="16" x14ac:dyDescent="0.2">
      <c r="A26" s="13" t="s">
        <v>69</v>
      </c>
      <c r="B26" s="14" t="s">
        <v>104</v>
      </c>
      <c r="C26" s="14" t="s">
        <v>657</v>
      </c>
      <c r="D26" s="14" t="s">
        <v>807</v>
      </c>
      <c r="E26" s="14" t="s">
        <v>763</v>
      </c>
      <c r="F26" s="14" t="s">
        <v>50</v>
      </c>
      <c r="G26" s="20">
        <v>198</v>
      </c>
      <c r="H26" s="15">
        <v>150</v>
      </c>
      <c r="I26" s="20">
        <v>200</v>
      </c>
      <c r="J26" s="16">
        <f t="shared" si="11"/>
        <v>183</v>
      </c>
      <c r="K26" s="16">
        <f t="shared" si="1"/>
        <v>180</v>
      </c>
      <c r="L26" s="16">
        <f t="shared" si="2"/>
        <v>170</v>
      </c>
      <c r="M26" s="16">
        <f t="shared" si="12"/>
        <v>170</v>
      </c>
      <c r="N26" s="16">
        <f t="shared" si="13"/>
        <v>160</v>
      </c>
      <c r="O26" s="15"/>
      <c r="P26" s="16" t="str">
        <f t="shared" si="14"/>
        <v/>
      </c>
      <c r="Q26" s="17" t="str">
        <f t="shared" si="15"/>
        <v/>
      </c>
      <c r="R26" s="14" t="s">
        <v>36</v>
      </c>
      <c r="S26" s="14"/>
    </row>
    <row r="27" spans="1:19" ht="16" x14ac:dyDescent="0.2">
      <c r="A27" s="13" t="s">
        <v>70</v>
      </c>
      <c r="B27" s="14" t="s">
        <v>104</v>
      </c>
      <c r="C27" s="14" t="s">
        <v>658</v>
      </c>
      <c r="D27" s="14" t="s">
        <v>807</v>
      </c>
      <c r="E27" s="14" t="s">
        <v>763</v>
      </c>
      <c r="F27" s="14" t="s">
        <v>50</v>
      </c>
      <c r="G27" s="15">
        <v>198</v>
      </c>
      <c r="H27" s="20">
        <v>145</v>
      </c>
      <c r="I27" s="15">
        <v>150</v>
      </c>
      <c r="J27" s="16">
        <f t="shared" si="11"/>
        <v>164</v>
      </c>
      <c r="K27" s="16">
        <f t="shared" si="1"/>
        <v>160</v>
      </c>
      <c r="L27" s="16">
        <f t="shared" si="2"/>
        <v>150</v>
      </c>
      <c r="M27" s="16">
        <f t="shared" si="12"/>
        <v>150</v>
      </c>
      <c r="N27" s="16">
        <f t="shared" si="13"/>
        <v>140</v>
      </c>
      <c r="O27" s="15"/>
      <c r="P27" s="16" t="str">
        <f t="shared" si="14"/>
        <v/>
      </c>
      <c r="Q27" s="17" t="str">
        <f t="shared" si="15"/>
        <v/>
      </c>
      <c r="R27" s="14" t="s">
        <v>36</v>
      </c>
      <c r="S27" s="14"/>
    </row>
    <row r="28" spans="1:19" ht="16" x14ac:dyDescent="0.2">
      <c r="A28" s="13" t="s">
        <v>71</v>
      </c>
      <c r="B28" s="14" t="s">
        <v>104</v>
      </c>
      <c r="C28" s="14" t="s">
        <v>659</v>
      </c>
      <c r="D28" s="14" t="s">
        <v>807</v>
      </c>
      <c r="E28" s="14" t="s">
        <v>763</v>
      </c>
      <c r="F28" s="14" t="s">
        <v>50</v>
      </c>
      <c r="G28" s="15">
        <v>198</v>
      </c>
      <c r="H28" s="20">
        <v>145</v>
      </c>
      <c r="I28" s="15">
        <v>150</v>
      </c>
      <c r="J28" s="16">
        <f>IF(COUNT(G28:I28)=0,"",ROUND(AVERAGE(G28:I28),0))</f>
        <v>164</v>
      </c>
      <c r="K28" s="16">
        <f>IF(J28="","",ROUND(J28/10,0)*10)</f>
        <v>160</v>
      </c>
      <c r="L28" s="16">
        <f t="shared" si="2"/>
        <v>150</v>
      </c>
      <c r="M28" s="16">
        <f t="shared" si="12"/>
        <v>150</v>
      </c>
      <c r="N28" s="16">
        <f t="shared" si="13"/>
        <v>140</v>
      </c>
      <c r="O28" s="15"/>
      <c r="P28" s="16" t="str">
        <f t="shared" si="14"/>
        <v/>
      </c>
      <c r="Q28" s="17" t="str">
        <f t="shared" si="15"/>
        <v/>
      </c>
      <c r="R28" s="14" t="s">
        <v>36</v>
      </c>
      <c r="S28" s="14"/>
    </row>
    <row r="29" spans="1:19" ht="16" x14ac:dyDescent="0.2">
      <c r="A29" s="13" t="s">
        <v>72</v>
      </c>
      <c r="B29" s="14" t="s">
        <v>104</v>
      </c>
      <c r="C29" s="14" t="s">
        <v>660</v>
      </c>
      <c r="D29" s="14" t="s">
        <v>807</v>
      </c>
      <c r="E29" s="14" t="s">
        <v>763</v>
      </c>
      <c r="F29" s="14" t="s">
        <v>50</v>
      </c>
      <c r="G29" s="15">
        <v>198</v>
      </c>
      <c r="H29" s="20">
        <v>145</v>
      </c>
      <c r="I29" s="15">
        <v>150</v>
      </c>
      <c r="J29" s="16">
        <f t="shared" ref="J29:J44" si="16">IF(COUNT(G29:I29)=0,"",ROUND(AVERAGE(G29:I29),0))</f>
        <v>164</v>
      </c>
      <c r="K29" s="16">
        <f t="shared" si="1"/>
        <v>160</v>
      </c>
      <c r="L29" s="16">
        <f t="shared" si="2"/>
        <v>150</v>
      </c>
      <c r="M29" s="16">
        <f t="shared" si="12"/>
        <v>150</v>
      </c>
      <c r="N29" s="16">
        <f t="shared" si="13"/>
        <v>140</v>
      </c>
      <c r="O29" s="15"/>
      <c r="P29" s="16" t="str">
        <f t="shared" si="14"/>
        <v/>
      </c>
      <c r="Q29" s="17" t="str">
        <f t="shared" si="15"/>
        <v/>
      </c>
      <c r="R29" s="14" t="s">
        <v>36</v>
      </c>
      <c r="S29" s="14"/>
    </row>
    <row r="30" spans="1:19" ht="16" x14ac:dyDescent="0.2">
      <c r="A30" s="13" t="s">
        <v>73</v>
      </c>
      <c r="B30" s="14" t="s">
        <v>104</v>
      </c>
      <c r="C30" s="14" t="s">
        <v>661</v>
      </c>
      <c r="D30" s="14" t="s">
        <v>808</v>
      </c>
      <c r="E30" s="14" t="s">
        <v>763</v>
      </c>
      <c r="F30" s="14" t="s">
        <v>50</v>
      </c>
      <c r="G30" s="15"/>
      <c r="H30" s="15"/>
      <c r="I30" s="15"/>
      <c r="J30" s="16" t="str">
        <f t="shared" si="16"/>
        <v/>
      </c>
      <c r="K30" s="16" t="str">
        <f t="shared" si="1"/>
        <v/>
      </c>
      <c r="L30" s="16" t="str">
        <f t="shared" si="2"/>
        <v/>
      </c>
      <c r="M30" s="16" t="str">
        <f t="shared" si="12"/>
        <v/>
      </c>
      <c r="N30" s="16" t="str">
        <f t="shared" si="13"/>
        <v/>
      </c>
      <c r="O30" s="15"/>
      <c r="P30" s="16" t="str">
        <f t="shared" si="14"/>
        <v/>
      </c>
      <c r="Q30" s="17" t="str">
        <f t="shared" si="15"/>
        <v/>
      </c>
      <c r="R30" s="14" t="s">
        <v>36</v>
      </c>
      <c r="S30" s="14"/>
    </row>
    <row r="31" spans="1:19" ht="16" x14ac:dyDescent="0.2">
      <c r="A31" s="13" t="s">
        <v>74</v>
      </c>
      <c r="B31" s="14" t="s">
        <v>104</v>
      </c>
      <c r="C31" s="14" t="s">
        <v>762</v>
      </c>
      <c r="D31" s="14" t="s">
        <v>809</v>
      </c>
      <c r="E31" s="14" t="s">
        <v>763</v>
      </c>
      <c r="F31" s="14" t="s">
        <v>50</v>
      </c>
      <c r="G31" s="15">
        <v>130</v>
      </c>
      <c r="H31" s="15"/>
      <c r="I31" s="15">
        <v>200</v>
      </c>
      <c r="J31" s="16">
        <f t="shared" si="16"/>
        <v>165</v>
      </c>
      <c r="K31" s="16">
        <f t="shared" si="1"/>
        <v>170</v>
      </c>
      <c r="L31" s="16">
        <f t="shared" si="2"/>
        <v>160</v>
      </c>
      <c r="M31" s="16">
        <f t="shared" si="12"/>
        <v>160</v>
      </c>
      <c r="N31" s="16">
        <f t="shared" si="13"/>
        <v>150</v>
      </c>
      <c r="O31" s="15"/>
      <c r="P31" s="16" t="str">
        <f t="shared" si="14"/>
        <v/>
      </c>
      <c r="Q31" s="17" t="str">
        <f t="shared" si="15"/>
        <v/>
      </c>
      <c r="R31" s="14" t="s">
        <v>36</v>
      </c>
      <c r="S31" s="14"/>
    </row>
    <row r="32" spans="1:19" ht="16" x14ac:dyDescent="0.2">
      <c r="A32" s="13" t="s">
        <v>75</v>
      </c>
      <c r="B32" s="14" t="s">
        <v>104</v>
      </c>
      <c r="C32" s="14" t="s">
        <v>662</v>
      </c>
      <c r="D32" s="14" t="s">
        <v>809</v>
      </c>
      <c r="E32" s="14" t="s">
        <v>763</v>
      </c>
      <c r="F32" s="14" t="s">
        <v>50</v>
      </c>
      <c r="G32" s="15">
        <v>130</v>
      </c>
      <c r="H32" s="15"/>
      <c r="I32" s="15">
        <v>200</v>
      </c>
      <c r="J32" s="16">
        <f t="shared" si="16"/>
        <v>165</v>
      </c>
      <c r="K32" s="16">
        <f t="shared" si="1"/>
        <v>170</v>
      </c>
      <c r="L32" s="16">
        <f>IF(K32="","",ROUND(K32*95%/10,0)*10)</f>
        <v>160</v>
      </c>
      <c r="M32" s="16">
        <f>IF(K32="","",ROUND(K32*92%/10,0)*10)</f>
        <v>160</v>
      </c>
      <c r="N32" s="16">
        <f>IF(K32="","",ROUND(K32*88%/10,0)*10)</f>
        <v>150</v>
      </c>
      <c r="O32" s="15"/>
      <c r="P32" s="16" t="str">
        <f>IF(OR(K32="",O32=""),"",K32-O32)</f>
        <v/>
      </c>
      <c r="Q32" s="17" t="str">
        <f>IF(OR(K32="",O32="",K32=0),"",P32/K32)</f>
        <v/>
      </c>
      <c r="R32" s="14" t="s">
        <v>36</v>
      </c>
      <c r="S32" s="14"/>
    </row>
    <row r="33" spans="1:19" ht="16" x14ac:dyDescent="0.2">
      <c r="A33" s="13" t="s">
        <v>77</v>
      </c>
      <c r="B33" s="14" t="s">
        <v>104</v>
      </c>
      <c r="C33" s="14" t="s">
        <v>663</v>
      </c>
      <c r="D33" s="14" t="s">
        <v>809</v>
      </c>
      <c r="E33" s="14" t="s">
        <v>763</v>
      </c>
      <c r="F33" s="14" t="s">
        <v>50</v>
      </c>
      <c r="G33" s="15">
        <v>130</v>
      </c>
      <c r="H33" s="15"/>
      <c r="I33" s="15">
        <v>200</v>
      </c>
      <c r="J33" s="16">
        <f t="shared" si="16"/>
        <v>165</v>
      </c>
      <c r="K33" s="16">
        <f t="shared" si="1"/>
        <v>170</v>
      </c>
      <c r="L33" s="16">
        <f t="shared" si="2"/>
        <v>160</v>
      </c>
      <c r="M33" s="16">
        <f t="shared" ref="M33:M45" si="17">IF(K33="","",ROUND(K33*92%/10,0)*10)</f>
        <v>160</v>
      </c>
      <c r="N33" s="16">
        <f t="shared" ref="N33:N45" si="18">IF(K33="","",ROUND(K33*88%/10,0)*10)</f>
        <v>150</v>
      </c>
      <c r="O33" s="15"/>
      <c r="P33" s="16" t="str">
        <f t="shared" ref="P33:P45" si="19">IF(OR(K33="",O33=""),"",K33-O33)</f>
        <v/>
      </c>
      <c r="Q33" s="17" t="str">
        <f t="shared" ref="Q33:Q45" si="20">IF(OR(K33="",O33="",K33=0),"",P33/K33)</f>
        <v/>
      </c>
      <c r="R33" s="14" t="s">
        <v>36</v>
      </c>
      <c r="S33" s="14"/>
    </row>
    <row r="34" spans="1:19" ht="16" x14ac:dyDescent="0.2">
      <c r="A34" s="13" t="s">
        <v>78</v>
      </c>
      <c r="B34" s="14" t="s">
        <v>104</v>
      </c>
      <c r="C34" s="14" t="s">
        <v>664</v>
      </c>
      <c r="D34" s="14" t="s">
        <v>808</v>
      </c>
      <c r="E34" s="14" t="s">
        <v>763</v>
      </c>
      <c r="F34" s="14" t="s">
        <v>50</v>
      </c>
      <c r="G34" s="15"/>
      <c r="H34" s="15"/>
      <c r="I34" s="15"/>
      <c r="J34" s="16" t="str">
        <f t="shared" si="16"/>
        <v/>
      </c>
      <c r="K34" s="16" t="str">
        <f t="shared" si="1"/>
        <v/>
      </c>
      <c r="L34" s="16" t="str">
        <f t="shared" si="2"/>
        <v/>
      </c>
      <c r="M34" s="16" t="str">
        <f t="shared" si="17"/>
        <v/>
      </c>
      <c r="N34" s="16" t="str">
        <f t="shared" si="18"/>
        <v/>
      </c>
      <c r="O34" s="15"/>
      <c r="P34" s="16" t="str">
        <f t="shared" si="19"/>
        <v/>
      </c>
      <c r="Q34" s="17" t="str">
        <f t="shared" si="20"/>
        <v/>
      </c>
      <c r="R34" s="14" t="s">
        <v>36</v>
      </c>
      <c r="S34" s="14"/>
    </row>
    <row r="35" spans="1:19" ht="16" x14ac:dyDescent="0.2">
      <c r="A35" s="13" t="s">
        <v>83</v>
      </c>
      <c r="B35" s="14" t="s">
        <v>104</v>
      </c>
      <c r="C35" s="14" t="s">
        <v>665</v>
      </c>
      <c r="D35" s="14" t="s">
        <v>34</v>
      </c>
      <c r="E35" s="14" t="s">
        <v>763</v>
      </c>
      <c r="F35" s="14" t="s">
        <v>50</v>
      </c>
      <c r="G35" s="15">
        <v>220</v>
      </c>
      <c r="H35" s="15"/>
      <c r="I35" s="15">
        <v>220</v>
      </c>
      <c r="J35" s="16">
        <f t="shared" si="16"/>
        <v>220</v>
      </c>
      <c r="K35" s="16">
        <f t="shared" si="1"/>
        <v>220</v>
      </c>
      <c r="L35" s="16">
        <f t="shared" si="2"/>
        <v>210</v>
      </c>
      <c r="M35" s="16">
        <f t="shared" si="17"/>
        <v>200</v>
      </c>
      <c r="N35" s="16">
        <f t="shared" si="18"/>
        <v>190</v>
      </c>
      <c r="O35" s="15"/>
      <c r="P35" s="16" t="str">
        <f t="shared" si="19"/>
        <v/>
      </c>
      <c r="Q35" s="17" t="str">
        <f t="shared" si="20"/>
        <v/>
      </c>
      <c r="R35" s="14" t="s">
        <v>36</v>
      </c>
      <c r="S35" s="14"/>
    </row>
    <row r="36" spans="1:19" ht="16" x14ac:dyDescent="0.2">
      <c r="A36" s="13" t="s">
        <v>84</v>
      </c>
      <c r="B36" s="14" t="s">
        <v>104</v>
      </c>
      <c r="C36" s="14" t="s">
        <v>666</v>
      </c>
      <c r="D36" s="14" t="s">
        <v>807</v>
      </c>
      <c r="E36" s="14" t="s">
        <v>763</v>
      </c>
      <c r="F36" s="14" t="s">
        <v>82</v>
      </c>
      <c r="G36" s="15">
        <v>240</v>
      </c>
      <c r="H36" s="15">
        <v>235</v>
      </c>
      <c r="I36" s="15">
        <v>220</v>
      </c>
      <c r="J36" s="16">
        <f t="shared" si="16"/>
        <v>232</v>
      </c>
      <c r="K36" s="16">
        <f t="shared" si="1"/>
        <v>230</v>
      </c>
      <c r="L36" s="16">
        <f t="shared" si="2"/>
        <v>220</v>
      </c>
      <c r="M36" s="16">
        <f t="shared" si="17"/>
        <v>210</v>
      </c>
      <c r="N36" s="16">
        <f t="shared" si="18"/>
        <v>200</v>
      </c>
      <c r="O36" s="15"/>
      <c r="P36" s="16" t="str">
        <f t="shared" si="19"/>
        <v/>
      </c>
      <c r="Q36" s="17" t="str">
        <f t="shared" si="20"/>
        <v/>
      </c>
      <c r="R36" s="14" t="s">
        <v>36</v>
      </c>
      <c r="S36" s="14"/>
    </row>
    <row r="37" spans="1:19" ht="16" x14ac:dyDescent="0.2">
      <c r="A37" s="13" t="s">
        <v>86</v>
      </c>
      <c r="B37" s="14" t="s">
        <v>79</v>
      </c>
      <c r="C37" s="14" t="s">
        <v>85</v>
      </c>
      <c r="D37" s="14" t="s">
        <v>81</v>
      </c>
      <c r="E37" s="14" t="s">
        <v>763</v>
      </c>
      <c r="F37" s="14" t="s">
        <v>82</v>
      </c>
      <c r="G37" s="15">
        <v>200</v>
      </c>
      <c r="H37" s="20">
        <v>185</v>
      </c>
      <c r="I37" s="15">
        <v>210</v>
      </c>
      <c r="J37" s="16">
        <f t="shared" si="16"/>
        <v>198</v>
      </c>
      <c r="K37" s="16">
        <f t="shared" si="1"/>
        <v>200</v>
      </c>
      <c r="L37" s="16">
        <f t="shared" si="2"/>
        <v>190</v>
      </c>
      <c r="M37" s="16">
        <f t="shared" si="17"/>
        <v>180</v>
      </c>
      <c r="N37" s="16">
        <f t="shared" si="18"/>
        <v>180</v>
      </c>
      <c r="O37" s="15"/>
      <c r="P37" s="16" t="str">
        <f t="shared" si="19"/>
        <v/>
      </c>
      <c r="Q37" s="17" t="str">
        <f t="shared" si="20"/>
        <v/>
      </c>
      <c r="R37" s="14" t="s">
        <v>36</v>
      </c>
      <c r="S37" s="14"/>
    </row>
    <row r="38" spans="1:19" ht="16" x14ac:dyDescent="0.2">
      <c r="A38" s="13" t="s">
        <v>88</v>
      </c>
      <c r="B38" s="14" t="s">
        <v>79</v>
      </c>
      <c r="C38" s="14" t="s">
        <v>87</v>
      </c>
      <c r="D38" s="14" t="s">
        <v>81</v>
      </c>
      <c r="E38" s="14" t="s">
        <v>763</v>
      </c>
      <c r="F38" s="14" t="s">
        <v>82</v>
      </c>
      <c r="G38" s="15">
        <v>200</v>
      </c>
      <c r="H38" s="20">
        <v>185</v>
      </c>
      <c r="I38" s="15">
        <v>210</v>
      </c>
      <c r="J38" s="16">
        <f t="shared" si="16"/>
        <v>198</v>
      </c>
      <c r="K38" s="16">
        <f t="shared" si="1"/>
        <v>200</v>
      </c>
      <c r="L38" s="16">
        <f t="shared" si="2"/>
        <v>190</v>
      </c>
      <c r="M38" s="16">
        <f t="shared" si="17"/>
        <v>180</v>
      </c>
      <c r="N38" s="16">
        <f t="shared" si="18"/>
        <v>180</v>
      </c>
      <c r="O38" s="15"/>
      <c r="P38" s="16" t="str">
        <f t="shared" si="19"/>
        <v/>
      </c>
      <c r="Q38" s="17" t="str">
        <f t="shared" si="20"/>
        <v/>
      </c>
      <c r="R38" s="14" t="s">
        <v>36</v>
      </c>
      <c r="S38" s="14"/>
    </row>
    <row r="39" spans="1:19" ht="16" x14ac:dyDescent="0.2">
      <c r="A39" s="13" t="s">
        <v>90</v>
      </c>
      <c r="B39" s="14" t="s">
        <v>79</v>
      </c>
      <c r="C39" s="14" t="s">
        <v>635</v>
      </c>
      <c r="D39" s="14" t="s">
        <v>81</v>
      </c>
      <c r="E39" s="14" t="s">
        <v>763</v>
      </c>
      <c r="F39" s="14" t="s">
        <v>82</v>
      </c>
      <c r="G39" s="15">
        <v>200</v>
      </c>
      <c r="H39" s="20">
        <v>185</v>
      </c>
      <c r="I39" s="15">
        <v>210</v>
      </c>
      <c r="J39" s="16">
        <f t="shared" si="16"/>
        <v>198</v>
      </c>
      <c r="K39" s="16">
        <f t="shared" si="1"/>
        <v>200</v>
      </c>
      <c r="L39" s="16">
        <f t="shared" si="2"/>
        <v>190</v>
      </c>
      <c r="M39" s="16">
        <f t="shared" si="17"/>
        <v>180</v>
      </c>
      <c r="N39" s="16">
        <f t="shared" si="18"/>
        <v>180</v>
      </c>
      <c r="O39" s="15"/>
      <c r="P39" s="16" t="str">
        <f t="shared" si="19"/>
        <v/>
      </c>
      <c r="Q39" s="17" t="str">
        <f t="shared" si="20"/>
        <v/>
      </c>
      <c r="R39" s="14" t="s">
        <v>36</v>
      </c>
      <c r="S39" s="14"/>
    </row>
    <row r="40" spans="1:19" ht="16" x14ac:dyDescent="0.2">
      <c r="A40" s="13" t="s">
        <v>92</v>
      </c>
      <c r="B40" s="14" t="s">
        <v>79</v>
      </c>
      <c r="C40" s="14" t="s">
        <v>89</v>
      </c>
      <c r="D40" s="14" t="s">
        <v>81</v>
      </c>
      <c r="E40" s="14" t="s">
        <v>763</v>
      </c>
      <c r="F40" s="14" t="s">
        <v>82</v>
      </c>
      <c r="G40" s="15">
        <v>200</v>
      </c>
      <c r="H40" s="20">
        <v>185</v>
      </c>
      <c r="I40" s="15">
        <v>210</v>
      </c>
      <c r="J40" s="16">
        <f t="shared" si="16"/>
        <v>198</v>
      </c>
      <c r="K40" s="16">
        <f t="shared" si="1"/>
        <v>200</v>
      </c>
      <c r="L40" s="16">
        <f t="shared" si="2"/>
        <v>190</v>
      </c>
      <c r="M40" s="16">
        <f t="shared" si="17"/>
        <v>180</v>
      </c>
      <c r="N40" s="16">
        <f t="shared" si="18"/>
        <v>180</v>
      </c>
      <c r="O40" s="15"/>
      <c r="P40" s="16" t="str">
        <f t="shared" si="19"/>
        <v/>
      </c>
      <c r="Q40" s="17" t="str">
        <f t="shared" si="20"/>
        <v/>
      </c>
      <c r="R40" s="14" t="s">
        <v>36</v>
      </c>
      <c r="S40" s="14"/>
    </row>
    <row r="41" spans="1:19" ht="16" x14ac:dyDescent="0.2">
      <c r="A41" s="13" t="s">
        <v>93</v>
      </c>
      <c r="B41" s="14" t="s">
        <v>79</v>
      </c>
      <c r="C41" s="14" t="s">
        <v>636</v>
      </c>
      <c r="D41" s="14" t="s">
        <v>81</v>
      </c>
      <c r="E41" s="14" t="s">
        <v>763</v>
      </c>
      <c r="F41" s="14" t="s">
        <v>82</v>
      </c>
      <c r="G41" s="15">
        <v>200</v>
      </c>
      <c r="H41" s="20">
        <v>185</v>
      </c>
      <c r="I41" s="15">
        <v>210</v>
      </c>
      <c r="J41" s="16">
        <f t="shared" si="16"/>
        <v>198</v>
      </c>
      <c r="K41" s="16">
        <f t="shared" si="1"/>
        <v>200</v>
      </c>
      <c r="L41" s="16">
        <f t="shared" si="2"/>
        <v>190</v>
      </c>
      <c r="M41" s="16">
        <f t="shared" si="17"/>
        <v>180</v>
      </c>
      <c r="N41" s="16">
        <f t="shared" si="18"/>
        <v>180</v>
      </c>
      <c r="O41" s="15"/>
      <c r="P41" s="16" t="str">
        <f t="shared" si="19"/>
        <v/>
      </c>
      <c r="Q41" s="17" t="str">
        <f t="shared" si="20"/>
        <v/>
      </c>
      <c r="R41" s="14" t="s">
        <v>36</v>
      </c>
      <c r="S41" s="14"/>
    </row>
    <row r="42" spans="1:19" ht="16" x14ac:dyDescent="0.2">
      <c r="A42" s="13" t="s">
        <v>95</v>
      </c>
      <c r="B42" s="14" t="s">
        <v>79</v>
      </c>
      <c r="C42" s="14" t="s">
        <v>91</v>
      </c>
      <c r="D42" s="14" t="s">
        <v>81</v>
      </c>
      <c r="E42" s="14" t="s">
        <v>763</v>
      </c>
      <c r="F42" s="14" t="s">
        <v>82</v>
      </c>
      <c r="G42" s="15">
        <v>200</v>
      </c>
      <c r="H42" s="20">
        <v>185</v>
      </c>
      <c r="I42" s="15">
        <v>210</v>
      </c>
      <c r="J42" s="16">
        <f t="shared" si="16"/>
        <v>198</v>
      </c>
      <c r="K42" s="16">
        <f t="shared" si="1"/>
        <v>200</v>
      </c>
      <c r="L42" s="16">
        <f t="shared" si="2"/>
        <v>190</v>
      </c>
      <c r="M42" s="16">
        <f t="shared" si="17"/>
        <v>180</v>
      </c>
      <c r="N42" s="16">
        <f t="shared" si="18"/>
        <v>180</v>
      </c>
      <c r="O42" s="15"/>
      <c r="P42" s="16" t="str">
        <f t="shared" si="19"/>
        <v/>
      </c>
      <c r="Q42" s="17" t="str">
        <f t="shared" si="20"/>
        <v/>
      </c>
      <c r="R42" s="14" t="s">
        <v>36</v>
      </c>
      <c r="S42" s="14"/>
    </row>
    <row r="43" spans="1:19" ht="16" x14ac:dyDescent="0.2">
      <c r="A43" s="13" t="s">
        <v>97</v>
      </c>
      <c r="B43" s="14" t="s">
        <v>79</v>
      </c>
      <c r="C43" s="14" t="s">
        <v>94</v>
      </c>
      <c r="D43" s="14" t="s">
        <v>81</v>
      </c>
      <c r="E43" s="14" t="s">
        <v>763</v>
      </c>
      <c r="F43" s="14" t="s">
        <v>82</v>
      </c>
      <c r="G43" s="15">
        <v>200</v>
      </c>
      <c r="H43" s="20">
        <v>185</v>
      </c>
      <c r="I43" s="15">
        <v>210</v>
      </c>
      <c r="J43" s="16">
        <f t="shared" si="16"/>
        <v>198</v>
      </c>
      <c r="K43" s="16">
        <f t="shared" si="1"/>
        <v>200</v>
      </c>
      <c r="L43" s="16">
        <f t="shared" si="2"/>
        <v>190</v>
      </c>
      <c r="M43" s="16">
        <f t="shared" si="17"/>
        <v>180</v>
      </c>
      <c r="N43" s="16">
        <f t="shared" si="18"/>
        <v>180</v>
      </c>
      <c r="O43" s="15"/>
      <c r="P43" s="16" t="str">
        <f t="shared" si="19"/>
        <v/>
      </c>
      <c r="Q43" s="17" t="str">
        <f t="shared" si="20"/>
        <v/>
      </c>
      <c r="R43" s="14" t="s">
        <v>36</v>
      </c>
      <c r="S43" s="14"/>
    </row>
    <row r="44" spans="1:19" ht="16" x14ac:dyDescent="0.2">
      <c r="A44" s="13" t="s">
        <v>100</v>
      </c>
      <c r="B44" s="14" t="s">
        <v>79</v>
      </c>
      <c r="C44" s="14" t="s">
        <v>637</v>
      </c>
      <c r="D44" s="14" t="s">
        <v>81</v>
      </c>
      <c r="E44" s="14" t="s">
        <v>763</v>
      </c>
      <c r="F44" s="14" t="s">
        <v>82</v>
      </c>
      <c r="G44" s="15">
        <v>200</v>
      </c>
      <c r="H44" s="20">
        <v>185</v>
      </c>
      <c r="I44" s="15">
        <v>210</v>
      </c>
      <c r="J44" s="16">
        <f t="shared" si="16"/>
        <v>198</v>
      </c>
      <c r="K44" s="16">
        <f t="shared" si="1"/>
        <v>200</v>
      </c>
      <c r="L44" s="16">
        <f t="shared" si="2"/>
        <v>190</v>
      </c>
      <c r="M44" s="16">
        <f t="shared" si="17"/>
        <v>180</v>
      </c>
      <c r="N44" s="16">
        <f t="shared" si="18"/>
        <v>180</v>
      </c>
      <c r="O44" s="15"/>
      <c r="P44" s="16" t="str">
        <f t="shared" si="19"/>
        <v/>
      </c>
      <c r="Q44" s="17" t="str">
        <f t="shared" si="20"/>
        <v/>
      </c>
      <c r="R44" s="14" t="s">
        <v>36</v>
      </c>
      <c r="S44" s="14"/>
    </row>
    <row r="45" spans="1:19" ht="16" x14ac:dyDescent="0.2">
      <c r="A45" s="13" t="s">
        <v>102</v>
      </c>
      <c r="B45" s="14" t="s">
        <v>79</v>
      </c>
      <c r="C45" s="14" t="s">
        <v>638</v>
      </c>
      <c r="D45" s="14" t="s">
        <v>81</v>
      </c>
      <c r="E45" s="14" t="s">
        <v>763</v>
      </c>
      <c r="F45" s="14" t="s">
        <v>82</v>
      </c>
      <c r="G45" s="15">
        <v>200</v>
      </c>
      <c r="H45" s="20">
        <v>185</v>
      </c>
      <c r="I45" s="15">
        <v>210</v>
      </c>
      <c r="J45" s="16">
        <f>IF(COUNT(G45:I45)=0,"",ROUND(AVERAGE(G45:I45),0))</f>
        <v>198</v>
      </c>
      <c r="K45" s="16">
        <f>IF(J45="","",ROUND(J45/10,0)*10)</f>
        <v>200</v>
      </c>
      <c r="L45" s="16">
        <f t="shared" si="2"/>
        <v>190</v>
      </c>
      <c r="M45" s="16">
        <f t="shared" si="17"/>
        <v>180</v>
      </c>
      <c r="N45" s="16">
        <f t="shared" si="18"/>
        <v>180</v>
      </c>
      <c r="O45" s="15"/>
      <c r="P45" s="16" t="str">
        <f t="shared" si="19"/>
        <v/>
      </c>
      <c r="Q45" s="17" t="str">
        <f t="shared" si="20"/>
        <v/>
      </c>
      <c r="R45" s="14" t="s">
        <v>36</v>
      </c>
      <c r="S45" s="14"/>
    </row>
    <row r="46" spans="1:19" ht="16" x14ac:dyDescent="0.2">
      <c r="A46" s="13" t="s">
        <v>103</v>
      </c>
      <c r="B46" s="14" t="s">
        <v>79</v>
      </c>
      <c r="C46" s="14" t="s">
        <v>96</v>
      </c>
      <c r="D46" s="14" t="s">
        <v>81</v>
      </c>
      <c r="E46" s="14" t="s">
        <v>763</v>
      </c>
      <c r="F46" s="14" t="s">
        <v>82</v>
      </c>
      <c r="G46" s="15">
        <v>200</v>
      </c>
      <c r="H46" s="20">
        <v>185</v>
      </c>
      <c r="I46" s="15">
        <v>210</v>
      </c>
      <c r="J46" s="16">
        <f>IF(COUNT(G46:I46)=0,"",ROUND(AVERAGE(G46:I46),0))</f>
        <v>198</v>
      </c>
      <c r="K46" s="16">
        <f>IF(J46="","",ROUND(J46/10,0)*10)</f>
        <v>200</v>
      </c>
      <c r="L46" s="16">
        <f>IF(K46="","",ROUND(K46*95%/10,0)*10)</f>
        <v>190</v>
      </c>
      <c r="M46" s="16">
        <f>IF(K46="","",ROUND(K46*92%/10,0)*10)</f>
        <v>180</v>
      </c>
      <c r="N46" s="16">
        <f>IF(K46="","",ROUND(K46*88%/10,0)*10)</f>
        <v>180</v>
      </c>
      <c r="O46" s="15"/>
      <c r="P46" s="16" t="str">
        <f>IF(OR(K46="",O46=""),"",K46-O46)</f>
        <v/>
      </c>
      <c r="Q46" s="17" t="str">
        <f>IF(OR(K46="",O46="",K46=0),"",P46/K46)</f>
        <v/>
      </c>
      <c r="R46" s="14" t="s">
        <v>36</v>
      </c>
      <c r="S46" s="14"/>
    </row>
    <row r="47" spans="1:19" ht="16" x14ac:dyDescent="0.2">
      <c r="A47" s="13" t="s">
        <v>105</v>
      </c>
      <c r="B47" s="14" t="s">
        <v>79</v>
      </c>
      <c r="C47" s="14" t="s">
        <v>639</v>
      </c>
      <c r="D47" s="14" t="s">
        <v>81</v>
      </c>
      <c r="E47" s="14" t="s">
        <v>763</v>
      </c>
      <c r="F47" s="14" t="s">
        <v>82</v>
      </c>
      <c r="G47" s="15">
        <v>200</v>
      </c>
      <c r="H47" s="20">
        <v>185</v>
      </c>
      <c r="I47" s="15">
        <v>210</v>
      </c>
      <c r="J47" s="16">
        <f t="shared" ref="J47:J62" si="21">IF(COUNT(G47:I47)=0,"",ROUND(AVERAGE(G47:I47),0))</f>
        <v>198</v>
      </c>
      <c r="K47" s="16">
        <f t="shared" ref="K47:K62" si="22">IF(J47="","",ROUND(J47/10,0)*10)</f>
        <v>200</v>
      </c>
      <c r="L47" s="16">
        <f t="shared" si="2"/>
        <v>190</v>
      </c>
      <c r="M47" s="16">
        <f t="shared" ref="M47:M54" si="23">IF(K47="","",ROUND(K47*92%/10,0)*10)</f>
        <v>180</v>
      </c>
      <c r="N47" s="16">
        <f t="shared" ref="N47:N54" si="24">IF(K47="","",ROUND(K47*88%/10,0)*10)</f>
        <v>180</v>
      </c>
      <c r="O47" s="15"/>
      <c r="P47" s="16" t="str">
        <f t="shared" ref="P47:P54" si="25">IF(OR(K47="",O47=""),"",K47-O47)</f>
        <v/>
      </c>
      <c r="Q47" s="17" t="str">
        <f t="shared" ref="Q47:Q54" si="26">IF(OR(K47="",O47="",K47=0),"",P47/K47)</f>
        <v/>
      </c>
      <c r="R47" s="14" t="s">
        <v>36</v>
      </c>
      <c r="S47" s="14"/>
    </row>
    <row r="48" spans="1:19" ht="16" x14ac:dyDescent="0.2">
      <c r="A48" s="13" t="s">
        <v>106</v>
      </c>
      <c r="B48" s="14" t="s">
        <v>79</v>
      </c>
      <c r="C48" s="14" t="s">
        <v>640</v>
      </c>
      <c r="D48" s="14" t="s">
        <v>81</v>
      </c>
      <c r="E48" s="14" t="s">
        <v>763</v>
      </c>
      <c r="F48" s="14" t="s">
        <v>82</v>
      </c>
      <c r="G48" s="15">
        <v>200</v>
      </c>
      <c r="H48" s="20">
        <v>185</v>
      </c>
      <c r="I48" s="15">
        <v>210</v>
      </c>
      <c r="J48" s="16">
        <f t="shared" si="21"/>
        <v>198</v>
      </c>
      <c r="K48" s="16">
        <f t="shared" si="22"/>
        <v>200</v>
      </c>
      <c r="L48" s="16">
        <f t="shared" si="2"/>
        <v>190</v>
      </c>
      <c r="M48" s="16">
        <f t="shared" si="23"/>
        <v>180</v>
      </c>
      <c r="N48" s="16">
        <f t="shared" si="24"/>
        <v>180</v>
      </c>
      <c r="O48" s="15"/>
      <c r="P48" s="16" t="str">
        <f t="shared" si="25"/>
        <v/>
      </c>
      <c r="Q48" s="17" t="str">
        <f t="shared" si="26"/>
        <v/>
      </c>
      <c r="R48" s="14" t="s">
        <v>36</v>
      </c>
      <c r="S48" s="14"/>
    </row>
    <row r="49" spans="1:19" ht="16" x14ac:dyDescent="0.2">
      <c r="A49" s="13" t="s">
        <v>107</v>
      </c>
      <c r="B49" s="14" t="s">
        <v>79</v>
      </c>
      <c r="C49" s="14" t="s">
        <v>641</v>
      </c>
      <c r="D49" s="14" t="s">
        <v>81</v>
      </c>
      <c r="E49" s="14" t="s">
        <v>763</v>
      </c>
      <c r="F49" s="14" t="s">
        <v>82</v>
      </c>
      <c r="G49" s="15">
        <v>200</v>
      </c>
      <c r="H49" s="20">
        <v>185</v>
      </c>
      <c r="I49" s="15">
        <v>210</v>
      </c>
      <c r="J49" s="16">
        <f t="shared" si="21"/>
        <v>198</v>
      </c>
      <c r="K49" s="16">
        <f t="shared" si="22"/>
        <v>200</v>
      </c>
      <c r="L49" s="16">
        <f t="shared" si="2"/>
        <v>190</v>
      </c>
      <c r="M49" s="16">
        <f t="shared" si="23"/>
        <v>180</v>
      </c>
      <c r="N49" s="16">
        <f t="shared" si="24"/>
        <v>180</v>
      </c>
      <c r="O49" s="15"/>
      <c r="P49" s="16" t="str">
        <f t="shared" si="25"/>
        <v/>
      </c>
      <c r="Q49" s="17" t="str">
        <f t="shared" si="26"/>
        <v/>
      </c>
      <c r="R49" s="14" t="s">
        <v>36</v>
      </c>
      <c r="S49" s="14"/>
    </row>
    <row r="50" spans="1:19" ht="16" x14ac:dyDescent="0.2">
      <c r="A50" s="13" t="s">
        <v>109</v>
      </c>
      <c r="B50" s="14" t="s">
        <v>79</v>
      </c>
      <c r="C50" s="14" t="s">
        <v>98</v>
      </c>
      <c r="D50" s="14" t="s">
        <v>808</v>
      </c>
      <c r="E50" s="14" t="s">
        <v>763</v>
      </c>
      <c r="F50" s="14" t="s">
        <v>82</v>
      </c>
      <c r="G50" s="15">
        <v>110</v>
      </c>
      <c r="H50" s="15"/>
      <c r="I50" s="15">
        <v>130</v>
      </c>
      <c r="J50" s="16">
        <f t="shared" si="21"/>
        <v>120</v>
      </c>
      <c r="K50" s="16">
        <f t="shared" si="22"/>
        <v>120</v>
      </c>
      <c r="L50" s="16">
        <f t="shared" si="2"/>
        <v>110</v>
      </c>
      <c r="M50" s="16">
        <f t="shared" si="23"/>
        <v>110</v>
      </c>
      <c r="N50" s="16">
        <f t="shared" si="24"/>
        <v>110</v>
      </c>
      <c r="O50" s="15"/>
      <c r="P50" s="16" t="str">
        <f t="shared" si="25"/>
        <v/>
      </c>
      <c r="Q50" s="17" t="str">
        <f t="shared" si="26"/>
        <v/>
      </c>
      <c r="R50" s="14" t="s">
        <v>36</v>
      </c>
      <c r="S50" s="14"/>
    </row>
    <row r="51" spans="1:19" ht="16" x14ac:dyDescent="0.2">
      <c r="A51" s="13" t="s">
        <v>110</v>
      </c>
      <c r="B51" s="14" t="s">
        <v>79</v>
      </c>
      <c r="C51" s="14" t="s">
        <v>642</v>
      </c>
      <c r="D51" s="14" t="s">
        <v>808</v>
      </c>
      <c r="E51" s="14" t="s">
        <v>763</v>
      </c>
      <c r="F51" s="14" t="s">
        <v>82</v>
      </c>
      <c r="G51" s="15">
        <v>110</v>
      </c>
      <c r="H51" s="15"/>
      <c r="I51" s="15">
        <v>130</v>
      </c>
      <c r="J51" s="16">
        <f t="shared" si="21"/>
        <v>120</v>
      </c>
      <c r="K51" s="16">
        <f t="shared" si="22"/>
        <v>120</v>
      </c>
      <c r="L51" s="16">
        <f t="shared" si="2"/>
        <v>110</v>
      </c>
      <c r="M51" s="16">
        <f t="shared" si="23"/>
        <v>110</v>
      </c>
      <c r="N51" s="16">
        <f t="shared" si="24"/>
        <v>110</v>
      </c>
      <c r="O51" s="15"/>
      <c r="P51" s="16" t="str">
        <f t="shared" si="25"/>
        <v/>
      </c>
      <c r="Q51" s="17" t="str">
        <f t="shared" si="26"/>
        <v/>
      </c>
      <c r="R51" s="14" t="s">
        <v>36</v>
      </c>
      <c r="S51" s="14"/>
    </row>
    <row r="52" spans="1:19" ht="16" x14ac:dyDescent="0.2">
      <c r="A52" s="13" t="s">
        <v>112</v>
      </c>
      <c r="B52" s="14" t="s">
        <v>79</v>
      </c>
      <c r="C52" s="14" t="s">
        <v>643</v>
      </c>
      <c r="D52" s="14" t="s">
        <v>808</v>
      </c>
      <c r="E52" s="14" t="s">
        <v>763</v>
      </c>
      <c r="F52" s="14" t="s">
        <v>82</v>
      </c>
      <c r="G52" s="15">
        <v>110</v>
      </c>
      <c r="H52" s="15"/>
      <c r="I52" s="15">
        <v>130</v>
      </c>
      <c r="J52" s="16">
        <f t="shared" si="21"/>
        <v>120</v>
      </c>
      <c r="K52" s="16">
        <f t="shared" si="22"/>
        <v>120</v>
      </c>
      <c r="L52" s="16">
        <f t="shared" si="2"/>
        <v>110</v>
      </c>
      <c r="M52" s="16">
        <f t="shared" si="23"/>
        <v>110</v>
      </c>
      <c r="N52" s="16">
        <f t="shared" si="24"/>
        <v>110</v>
      </c>
      <c r="O52" s="15"/>
      <c r="P52" s="16" t="str">
        <f t="shared" si="25"/>
        <v/>
      </c>
      <c r="Q52" s="17" t="str">
        <f t="shared" si="26"/>
        <v/>
      </c>
      <c r="R52" s="14" t="s">
        <v>36</v>
      </c>
      <c r="S52" s="14"/>
    </row>
    <row r="53" spans="1:19" ht="16" x14ac:dyDescent="0.2">
      <c r="A53" s="13" t="s">
        <v>114</v>
      </c>
      <c r="B53" s="14" t="s">
        <v>79</v>
      </c>
      <c r="C53" s="14" t="s">
        <v>101</v>
      </c>
      <c r="D53" s="14" t="s">
        <v>808</v>
      </c>
      <c r="E53" s="14" t="s">
        <v>763</v>
      </c>
      <c r="F53" s="14" t="s">
        <v>82</v>
      </c>
      <c r="G53" s="15">
        <v>110</v>
      </c>
      <c r="H53" s="15"/>
      <c r="I53" s="15">
        <v>130</v>
      </c>
      <c r="J53" s="16">
        <f t="shared" si="21"/>
        <v>120</v>
      </c>
      <c r="K53" s="16">
        <f t="shared" si="22"/>
        <v>120</v>
      </c>
      <c r="L53" s="16">
        <f t="shared" si="2"/>
        <v>110</v>
      </c>
      <c r="M53" s="16">
        <f t="shared" si="23"/>
        <v>110</v>
      </c>
      <c r="N53" s="16">
        <f t="shared" si="24"/>
        <v>110</v>
      </c>
      <c r="O53" s="15"/>
      <c r="P53" s="16" t="str">
        <f t="shared" si="25"/>
        <v/>
      </c>
      <c r="Q53" s="17" t="str">
        <f t="shared" si="26"/>
        <v/>
      </c>
      <c r="R53" s="14" t="s">
        <v>36</v>
      </c>
      <c r="S53" s="14"/>
    </row>
    <row r="54" spans="1:19" ht="16" x14ac:dyDescent="0.2">
      <c r="A54" s="13" t="s">
        <v>115</v>
      </c>
      <c r="B54" s="14" t="s">
        <v>79</v>
      </c>
      <c r="C54" s="14" t="s">
        <v>644</v>
      </c>
      <c r="D54" s="14" t="s">
        <v>808</v>
      </c>
      <c r="E54" s="14" t="s">
        <v>763</v>
      </c>
      <c r="F54" s="14" t="s">
        <v>82</v>
      </c>
      <c r="G54" s="15">
        <v>110</v>
      </c>
      <c r="H54" s="15"/>
      <c r="I54" s="15">
        <v>130</v>
      </c>
      <c r="J54" s="16">
        <f t="shared" si="21"/>
        <v>120</v>
      </c>
      <c r="K54" s="16">
        <f t="shared" si="22"/>
        <v>120</v>
      </c>
      <c r="L54" s="16">
        <f t="shared" si="2"/>
        <v>110</v>
      </c>
      <c r="M54" s="16">
        <f t="shared" si="23"/>
        <v>110</v>
      </c>
      <c r="N54" s="16">
        <f t="shared" si="24"/>
        <v>110</v>
      </c>
      <c r="O54" s="15"/>
      <c r="P54" s="16" t="str">
        <f t="shared" si="25"/>
        <v/>
      </c>
      <c r="Q54" s="17" t="str">
        <f t="shared" si="26"/>
        <v/>
      </c>
      <c r="R54" s="14" t="s">
        <v>36</v>
      </c>
      <c r="S54" s="14"/>
    </row>
    <row r="55" spans="1:19" ht="16" x14ac:dyDescent="0.2">
      <c r="A55" s="13" t="s">
        <v>116</v>
      </c>
      <c r="B55" s="14" t="s">
        <v>79</v>
      </c>
      <c r="C55" s="14" t="s">
        <v>645</v>
      </c>
      <c r="D55" s="14" t="s">
        <v>808</v>
      </c>
      <c r="E55" s="14" t="s">
        <v>763</v>
      </c>
      <c r="F55" s="14" t="s">
        <v>50</v>
      </c>
      <c r="G55" s="15">
        <v>110</v>
      </c>
      <c r="H55" s="15"/>
      <c r="I55" s="15">
        <v>130</v>
      </c>
      <c r="J55" s="16">
        <f t="shared" si="21"/>
        <v>120</v>
      </c>
      <c r="K55" s="16">
        <f t="shared" si="22"/>
        <v>120</v>
      </c>
      <c r="L55" s="16">
        <f>IF(K55="","",ROUND(K55*95%/10,0)*10)</f>
        <v>110</v>
      </c>
      <c r="M55" s="16">
        <f>IF(K55="","",ROUND(K55*92%/10,0)*10)</f>
        <v>110</v>
      </c>
      <c r="N55" s="16">
        <f>IF(K55="","",ROUND(K55*88%/10,0)*10)</f>
        <v>110</v>
      </c>
      <c r="O55" s="15"/>
      <c r="P55" s="16" t="str">
        <f>IF(OR(K55="",O55=""),"",K55-O55)</f>
        <v/>
      </c>
      <c r="Q55" s="17" t="str">
        <f>IF(OR(K55="",O55="",K55=0),"",P55/K55)</f>
        <v/>
      </c>
      <c r="R55" s="14" t="s">
        <v>36</v>
      </c>
      <c r="S55" s="14"/>
    </row>
    <row r="56" spans="1:19" ht="16" x14ac:dyDescent="0.2">
      <c r="A56" s="13" t="s">
        <v>117</v>
      </c>
      <c r="B56" s="14" t="s">
        <v>79</v>
      </c>
      <c r="C56" s="14" t="s">
        <v>646</v>
      </c>
      <c r="D56" s="14" t="s">
        <v>767</v>
      </c>
      <c r="E56" s="14" t="s">
        <v>765</v>
      </c>
      <c r="F56" s="14" t="s">
        <v>50</v>
      </c>
      <c r="G56" s="15">
        <v>430</v>
      </c>
      <c r="H56" s="15"/>
      <c r="I56" s="15">
        <v>500</v>
      </c>
      <c r="J56" s="16">
        <f t="shared" si="21"/>
        <v>465</v>
      </c>
      <c r="K56" s="16">
        <f t="shared" si="22"/>
        <v>470</v>
      </c>
      <c r="L56" s="16">
        <f t="shared" si="2"/>
        <v>450</v>
      </c>
      <c r="M56" s="16">
        <f t="shared" ref="M56:M66" si="27">IF(K56="","",ROUND(K56*92%/10,0)*10)</f>
        <v>430</v>
      </c>
      <c r="N56" s="16">
        <f t="shared" ref="N56:N66" si="28">IF(K56="","",ROUND(K56*88%/10,0)*10)</f>
        <v>410</v>
      </c>
      <c r="O56" s="15"/>
      <c r="P56" s="16" t="str">
        <f t="shared" ref="P56:P66" si="29">IF(OR(K56="",O56=""),"",K56-O56)</f>
        <v/>
      </c>
      <c r="Q56" s="17" t="str">
        <f t="shared" ref="Q56:Q66" si="30">IF(OR(K56="",O56="",K56=0),"",P56/K56)</f>
        <v/>
      </c>
      <c r="R56" s="14" t="s">
        <v>36</v>
      </c>
      <c r="S56" s="14"/>
    </row>
    <row r="57" spans="1:19" ht="16" x14ac:dyDescent="0.2">
      <c r="A57" s="13" t="s">
        <v>118</v>
      </c>
      <c r="B57" s="14" t="s">
        <v>79</v>
      </c>
      <c r="C57" s="14" t="s">
        <v>764</v>
      </c>
      <c r="D57" s="14" t="s">
        <v>767</v>
      </c>
      <c r="E57" s="14" t="s">
        <v>766</v>
      </c>
      <c r="F57" s="14" t="s">
        <v>50</v>
      </c>
      <c r="G57" s="15">
        <v>430</v>
      </c>
      <c r="H57" s="15"/>
      <c r="I57" s="15">
        <v>500</v>
      </c>
      <c r="J57" s="16">
        <f t="shared" si="21"/>
        <v>465</v>
      </c>
      <c r="K57" s="16">
        <f t="shared" si="22"/>
        <v>470</v>
      </c>
      <c r="L57" s="16">
        <f t="shared" si="2"/>
        <v>450</v>
      </c>
      <c r="M57" s="16">
        <f t="shared" si="27"/>
        <v>430</v>
      </c>
      <c r="N57" s="16">
        <f t="shared" si="28"/>
        <v>410</v>
      </c>
      <c r="O57" s="15"/>
      <c r="P57" s="16" t="str">
        <f t="shared" si="29"/>
        <v/>
      </c>
      <c r="Q57" s="17" t="str">
        <f t="shared" si="30"/>
        <v/>
      </c>
      <c r="R57" s="14" t="s">
        <v>36</v>
      </c>
      <c r="S57" s="14"/>
    </row>
    <row r="58" spans="1:19" ht="16" x14ac:dyDescent="0.2">
      <c r="A58" s="13" t="s">
        <v>120</v>
      </c>
      <c r="B58" s="14" t="s">
        <v>79</v>
      </c>
      <c r="C58" s="14" t="s">
        <v>647</v>
      </c>
      <c r="D58" s="14" t="s">
        <v>772</v>
      </c>
      <c r="E58" s="14" t="s">
        <v>768</v>
      </c>
      <c r="F58" s="14" t="s">
        <v>35</v>
      </c>
      <c r="G58" s="15">
        <v>765</v>
      </c>
      <c r="H58" s="15">
        <v>699</v>
      </c>
      <c r="I58" s="15">
        <v>1000</v>
      </c>
      <c r="J58" s="16">
        <f t="shared" si="21"/>
        <v>821</v>
      </c>
      <c r="K58" s="16">
        <f t="shared" si="22"/>
        <v>820</v>
      </c>
      <c r="L58" s="16">
        <f t="shared" si="2"/>
        <v>780</v>
      </c>
      <c r="M58" s="16">
        <f t="shared" si="27"/>
        <v>750</v>
      </c>
      <c r="N58" s="16">
        <f t="shared" si="28"/>
        <v>720</v>
      </c>
      <c r="O58" s="15"/>
      <c r="P58" s="16" t="str">
        <f t="shared" si="29"/>
        <v/>
      </c>
      <c r="Q58" s="17" t="str">
        <f t="shared" si="30"/>
        <v/>
      </c>
      <c r="R58" s="14" t="s">
        <v>36</v>
      </c>
      <c r="S58" s="14"/>
    </row>
    <row r="59" spans="1:19" ht="16" x14ac:dyDescent="0.2">
      <c r="A59" s="13" t="s">
        <v>122</v>
      </c>
      <c r="B59" s="14" t="s">
        <v>79</v>
      </c>
      <c r="C59" s="14" t="s">
        <v>648</v>
      </c>
      <c r="D59" s="14" t="s">
        <v>772</v>
      </c>
      <c r="E59" s="14" t="s">
        <v>769</v>
      </c>
      <c r="F59" s="14" t="s">
        <v>35</v>
      </c>
      <c r="G59" s="15">
        <v>765</v>
      </c>
      <c r="H59" s="15">
        <v>699</v>
      </c>
      <c r="I59" s="15">
        <v>1000</v>
      </c>
      <c r="J59" s="16">
        <f t="shared" si="21"/>
        <v>821</v>
      </c>
      <c r="K59" s="16">
        <f t="shared" si="22"/>
        <v>820</v>
      </c>
      <c r="L59" s="16">
        <f t="shared" si="2"/>
        <v>780</v>
      </c>
      <c r="M59" s="16">
        <f t="shared" si="27"/>
        <v>750</v>
      </c>
      <c r="N59" s="16">
        <f t="shared" si="28"/>
        <v>720</v>
      </c>
      <c r="O59" s="15"/>
      <c r="P59" s="16" t="str">
        <f t="shared" si="29"/>
        <v/>
      </c>
      <c r="Q59" s="17" t="str">
        <f t="shared" si="30"/>
        <v/>
      </c>
      <c r="R59" s="14" t="s">
        <v>36</v>
      </c>
      <c r="S59" s="14"/>
    </row>
    <row r="60" spans="1:19" ht="16" x14ac:dyDescent="0.2">
      <c r="A60" s="13" t="s">
        <v>125</v>
      </c>
      <c r="B60" s="14" t="s">
        <v>79</v>
      </c>
      <c r="C60" s="14" t="s">
        <v>649</v>
      </c>
      <c r="D60" s="14" t="s">
        <v>772</v>
      </c>
      <c r="E60" s="14" t="s">
        <v>770</v>
      </c>
      <c r="F60" s="14" t="s">
        <v>35</v>
      </c>
      <c r="G60" s="15">
        <v>765</v>
      </c>
      <c r="H60" s="15">
        <v>699</v>
      </c>
      <c r="I60" s="15">
        <v>1000</v>
      </c>
      <c r="J60" s="16">
        <f t="shared" si="21"/>
        <v>821</v>
      </c>
      <c r="K60" s="16">
        <f t="shared" si="22"/>
        <v>820</v>
      </c>
      <c r="L60" s="16">
        <f t="shared" si="2"/>
        <v>780</v>
      </c>
      <c r="M60" s="16">
        <f t="shared" si="27"/>
        <v>750</v>
      </c>
      <c r="N60" s="16">
        <f t="shared" si="28"/>
        <v>720</v>
      </c>
      <c r="O60" s="15"/>
      <c r="P60" s="16" t="str">
        <f t="shared" si="29"/>
        <v/>
      </c>
      <c r="Q60" s="17" t="str">
        <f t="shared" si="30"/>
        <v/>
      </c>
      <c r="R60" s="14" t="s">
        <v>36</v>
      </c>
      <c r="S60" s="14"/>
    </row>
    <row r="61" spans="1:19" ht="16" x14ac:dyDescent="0.2">
      <c r="A61" s="13" t="s">
        <v>126</v>
      </c>
      <c r="B61" s="14" t="s">
        <v>79</v>
      </c>
      <c r="C61" s="14" t="s">
        <v>650</v>
      </c>
      <c r="D61" s="14" t="s">
        <v>772</v>
      </c>
      <c r="E61" s="14" t="s">
        <v>771</v>
      </c>
      <c r="F61" s="14" t="s">
        <v>35</v>
      </c>
      <c r="G61" s="15">
        <v>765</v>
      </c>
      <c r="H61" s="15">
        <v>699</v>
      </c>
      <c r="I61" s="15">
        <v>1000</v>
      </c>
      <c r="J61" s="16">
        <f t="shared" si="21"/>
        <v>821</v>
      </c>
      <c r="K61" s="16">
        <f t="shared" si="22"/>
        <v>820</v>
      </c>
      <c r="L61" s="16">
        <f t="shared" si="2"/>
        <v>780</v>
      </c>
      <c r="M61" s="16">
        <f t="shared" si="27"/>
        <v>750</v>
      </c>
      <c r="N61" s="16">
        <f t="shared" si="28"/>
        <v>720</v>
      </c>
      <c r="O61" s="15"/>
      <c r="P61" s="16" t="str">
        <f t="shared" si="29"/>
        <v/>
      </c>
      <c r="Q61" s="17" t="str">
        <f t="shared" si="30"/>
        <v/>
      </c>
      <c r="R61" s="14" t="s">
        <v>36</v>
      </c>
      <c r="S61" s="14"/>
    </row>
    <row r="62" spans="1:19" ht="16" x14ac:dyDescent="0.2">
      <c r="A62" s="13" t="s">
        <v>128</v>
      </c>
      <c r="B62" s="14" t="s">
        <v>79</v>
      </c>
      <c r="C62" s="14" t="s">
        <v>634</v>
      </c>
      <c r="D62" s="14" t="s">
        <v>773</v>
      </c>
      <c r="E62" s="14" t="s">
        <v>763</v>
      </c>
      <c r="F62" s="14" t="s">
        <v>50</v>
      </c>
      <c r="G62" s="15">
        <v>400</v>
      </c>
      <c r="H62" s="20">
        <v>550</v>
      </c>
      <c r="I62" s="15"/>
      <c r="J62" s="16">
        <f t="shared" si="21"/>
        <v>475</v>
      </c>
      <c r="K62" s="16">
        <f t="shared" si="22"/>
        <v>480</v>
      </c>
      <c r="L62" s="16">
        <f t="shared" si="2"/>
        <v>460</v>
      </c>
      <c r="M62" s="16">
        <f t="shared" si="27"/>
        <v>440</v>
      </c>
      <c r="N62" s="16">
        <f t="shared" si="28"/>
        <v>420</v>
      </c>
      <c r="O62" s="15"/>
      <c r="P62" s="16" t="str">
        <f t="shared" si="29"/>
        <v/>
      </c>
      <c r="Q62" s="17" t="str">
        <f t="shared" si="30"/>
        <v/>
      </c>
      <c r="R62" s="14" t="s">
        <v>36</v>
      </c>
      <c r="S62" s="14"/>
    </row>
    <row r="63" spans="1:19" ht="16" x14ac:dyDescent="0.2">
      <c r="A63" s="13" t="s">
        <v>130</v>
      </c>
      <c r="B63" s="14" t="s">
        <v>79</v>
      </c>
      <c r="C63" s="14" t="s">
        <v>80</v>
      </c>
      <c r="D63" s="14" t="s">
        <v>81</v>
      </c>
      <c r="E63" s="14" t="s">
        <v>763</v>
      </c>
      <c r="F63" s="14" t="s">
        <v>82</v>
      </c>
      <c r="G63" s="15">
        <v>200</v>
      </c>
      <c r="H63" s="15">
        <v>170</v>
      </c>
      <c r="I63" s="20">
        <v>150</v>
      </c>
      <c r="J63" s="16">
        <f>IF(COUNT(G63:I63)=0,"",ROUND(AVERAGE(G63:I63),0))</f>
        <v>173</v>
      </c>
      <c r="K63" s="16">
        <f>IF(J63="","",ROUND(J63/10,0)*10)</f>
        <v>170</v>
      </c>
      <c r="L63" s="16">
        <f t="shared" si="2"/>
        <v>160</v>
      </c>
      <c r="M63" s="16">
        <f t="shared" si="27"/>
        <v>160</v>
      </c>
      <c r="N63" s="16">
        <f t="shared" si="28"/>
        <v>150</v>
      </c>
      <c r="O63" s="15"/>
      <c r="P63" s="16" t="str">
        <f t="shared" si="29"/>
        <v/>
      </c>
      <c r="Q63" s="17" t="str">
        <f t="shared" si="30"/>
        <v/>
      </c>
      <c r="R63" s="14" t="s">
        <v>36</v>
      </c>
      <c r="S63" s="14"/>
    </row>
    <row r="64" spans="1:19" ht="16" x14ac:dyDescent="0.2">
      <c r="A64" s="13" t="s">
        <v>131</v>
      </c>
      <c r="B64" s="14" t="s">
        <v>79</v>
      </c>
      <c r="C64" s="14" t="s">
        <v>775</v>
      </c>
      <c r="D64" s="14" t="s">
        <v>81</v>
      </c>
      <c r="E64" s="14" t="s">
        <v>763</v>
      </c>
      <c r="F64" s="14" t="s">
        <v>82</v>
      </c>
      <c r="G64" s="15">
        <v>200</v>
      </c>
      <c r="H64" s="20">
        <v>165</v>
      </c>
      <c r="I64" s="20">
        <v>150</v>
      </c>
      <c r="J64" s="16">
        <f t="shared" ref="J64:J79" si="31">IF(COUNT(G64:I64)=0,"",ROUND(AVERAGE(G64:I64),0))</f>
        <v>172</v>
      </c>
      <c r="K64" s="16">
        <f t="shared" ref="K64:K81" si="32">IF(J64="","",ROUND(J64/10,0)*10)</f>
        <v>170</v>
      </c>
      <c r="L64" s="16">
        <f t="shared" si="2"/>
        <v>160</v>
      </c>
      <c r="M64" s="16">
        <f t="shared" si="27"/>
        <v>160</v>
      </c>
      <c r="N64" s="16">
        <f t="shared" si="28"/>
        <v>150</v>
      </c>
      <c r="O64" s="15"/>
      <c r="P64" s="16" t="str">
        <f t="shared" si="29"/>
        <v/>
      </c>
      <c r="Q64" s="17" t="str">
        <f t="shared" si="30"/>
        <v/>
      </c>
      <c r="R64" s="14" t="s">
        <v>36</v>
      </c>
      <c r="S64" s="14"/>
    </row>
    <row r="65" spans="1:19" ht="16" x14ac:dyDescent="0.2">
      <c r="A65" s="13" t="s">
        <v>133</v>
      </c>
      <c r="B65" s="14" t="s">
        <v>79</v>
      </c>
      <c r="C65" s="14" t="s">
        <v>667</v>
      </c>
      <c r="D65" s="14" t="s">
        <v>808</v>
      </c>
      <c r="E65" s="14" t="s">
        <v>763</v>
      </c>
      <c r="F65" s="14" t="s">
        <v>82</v>
      </c>
      <c r="G65" s="15"/>
      <c r="H65" s="15"/>
      <c r="I65" s="15"/>
      <c r="J65" s="16" t="str">
        <f t="shared" si="31"/>
        <v/>
      </c>
      <c r="K65" s="16" t="str">
        <f t="shared" si="32"/>
        <v/>
      </c>
      <c r="L65" s="16" t="str">
        <f t="shared" si="2"/>
        <v/>
      </c>
      <c r="M65" s="16" t="str">
        <f t="shared" si="27"/>
        <v/>
      </c>
      <c r="N65" s="16" t="str">
        <f t="shared" si="28"/>
        <v/>
      </c>
      <c r="O65" s="15"/>
      <c r="P65" s="16" t="str">
        <f t="shared" si="29"/>
        <v/>
      </c>
      <c r="Q65" s="17" t="str">
        <f t="shared" si="30"/>
        <v/>
      </c>
      <c r="R65" s="14" t="s">
        <v>36</v>
      </c>
      <c r="S65" s="14"/>
    </row>
    <row r="66" spans="1:19" ht="16" x14ac:dyDescent="0.2">
      <c r="A66" s="13" t="s">
        <v>134</v>
      </c>
      <c r="B66" s="14" t="s">
        <v>79</v>
      </c>
      <c r="C66" s="14" t="s">
        <v>668</v>
      </c>
      <c r="D66" s="14" t="s">
        <v>808</v>
      </c>
      <c r="E66" s="14" t="s">
        <v>763</v>
      </c>
      <c r="F66" s="14" t="s">
        <v>82</v>
      </c>
      <c r="G66" s="15"/>
      <c r="H66" s="15"/>
      <c r="I66" s="15"/>
      <c r="J66" s="16" t="str">
        <f t="shared" si="31"/>
        <v/>
      </c>
      <c r="K66" s="16" t="str">
        <f t="shared" si="32"/>
        <v/>
      </c>
      <c r="L66" s="16" t="str">
        <f t="shared" si="2"/>
        <v/>
      </c>
      <c r="M66" s="16" t="str">
        <f t="shared" si="27"/>
        <v/>
      </c>
      <c r="N66" s="16" t="str">
        <f t="shared" si="28"/>
        <v/>
      </c>
      <c r="O66" s="15"/>
      <c r="P66" s="16" t="str">
        <f t="shared" si="29"/>
        <v/>
      </c>
      <c r="Q66" s="17" t="str">
        <f t="shared" si="30"/>
        <v/>
      </c>
      <c r="R66" s="14" t="s">
        <v>36</v>
      </c>
      <c r="S66" s="14"/>
    </row>
    <row r="67" spans="1:19" ht="16" x14ac:dyDescent="0.2">
      <c r="A67" s="13" t="s">
        <v>136</v>
      </c>
      <c r="B67" s="14" t="s">
        <v>79</v>
      </c>
      <c r="C67" s="14" t="s">
        <v>669</v>
      </c>
      <c r="D67" s="14" t="s">
        <v>81</v>
      </c>
      <c r="E67" s="14" t="s">
        <v>763</v>
      </c>
      <c r="F67" s="14" t="s">
        <v>82</v>
      </c>
      <c r="G67" s="15">
        <v>200</v>
      </c>
      <c r="H67" s="20">
        <v>170</v>
      </c>
      <c r="I67" s="20">
        <v>150</v>
      </c>
      <c r="J67" s="16">
        <f t="shared" si="31"/>
        <v>173</v>
      </c>
      <c r="K67" s="16">
        <f t="shared" si="32"/>
        <v>170</v>
      </c>
      <c r="L67" s="16">
        <f>IF(K67="","",ROUND(K67*95%/10,0)*10)</f>
        <v>160</v>
      </c>
      <c r="M67" s="16">
        <f>IF(K67="","",ROUND(K67*92%/10,0)*10)</f>
        <v>160</v>
      </c>
      <c r="N67" s="16">
        <f>IF(K67="","",ROUND(K67*88%/10,0)*10)</f>
        <v>150</v>
      </c>
      <c r="O67" s="15"/>
      <c r="P67" s="16" t="str">
        <f>IF(OR(K67="",O67=""),"",K67-O67)</f>
        <v/>
      </c>
      <c r="Q67" s="17" t="str">
        <f>IF(OR(K67="",O67="",K67=0),"",P67/K67)</f>
        <v/>
      </c>
      <c r="R67" s="14" t="s">
        <v>36</v>
      </c>
      <c r="S67" s="14"/>
    </row>
    <row r="68" spans="1:19" ht="16" x14ac:dyDescent="0.2">
      <c r="A68" s="13" t="s">
        <v>138</v>
      </c>
      <c r="B68" s="14" t="s">
        <v>79</v>
      </c>
      <c r="C68" s="14" t="s">
        <v>670</v>
      </c>
      <c r="D68" s="14" t="s">
        <v>81</v>
      </c>
      <c r="E68" s="14" t="s">
        <v>763</v>
      </c>
      <c r="F68" s="14" t="s">
        <v>82</v>
      </c>
      <c r="G68" s="15">
        <v>200</v>
      </c>
      <c r="H68" s="20">
        <v>170</v>
      </c>
      <c r="I68" s="20">
        <v>150</v>
      </c>
      <c r="J68" s="16">
        <f t="shared" si="31"/>
        <v>173</v>
      </c>
      <c r="K68" s="16">
        <f t="shared" si="32"/>
        <v>170</v>
      </c>
      <c r="L68" s="16">
        <f t="shared" si="2"/>
        <v>160</v>
      </c>
      <c r="M68" s="16">
        <f t="shared" ref="M68:M78" si="33">IF(K68="","",ROUND(K68*92%/10,0)*10)</f>
        <v>160</v>
      </c>
      <c r="N68" s="16">
        <f t="shared" ref="N68:N78" si="34">IF(K68="","",ROUND(K68*88%/10,0)*10)</f>
        <v>150</v>
      </c>
      <c r="O68" s="15"/>
      <c r="P68" s="16" t="str">
        <f t="shared" ref="P68:P78" si="35">IF(OR(K68="",O68=""),"",K68-O68)</f>
        <v/>
      </c>
      <c r="Q68" s="17" t="str">
        <f t="shared" ref="Q68:Q78" si="36">IF(OR(K68="",O68="",K68=0),"",P68/K68)</f>
        <v/>
      </c>
      <c r="R68" s="14" t="s">
        <v>36</v>
      </c>
      <c r="S68" s="14"/>
    </row>
    <row r="69" spans="1:19" ht="16" x14ac:dyDescent="0.2">
      <c r="A69" s="13" t="s">
        <v>139</v>
      </c>
      <c r="B69" s="14" t="s">
        <v>79</v>
      </c>
      <c r="C69" s="14" t="s">
        <v>671</v>
      </c>
      <c r="D69" s="14" t="s">
        <v>767</v>
      </c>
      <c r="E69" s="14" t="s">
        <v>765</v>
      </c>
      <c r="F69" s="14" t="s">
        <v>50</v>
      </c>
      <c r="G69" s="15">
        <v>430</v>
      </c>
      <c r="H69" s="15"/>
      <c r="I69" s="15">
        <v>500</v>
      </c>
      <c r="J69" s="16">
        <f t="shared" si="31"/>
        <v>465</v>
      </c>
      <c r="K69" s="16">
        <f t="shared" si="32"/>
        <v>470</v>
      </c>
      <c r="L69" s="16">
        <f t="shared" ref="L69:L78" si="37">IF(K69="","",ROUND(K69*95%/10,0)*10)</f>
        <v>450</v>
      </c>
      <c r="M69" s="16">
        <f t="shared" si="33"/>
        <v>430</v>
      </c>
      <c r="N69" s="16">
        <f t="shared" si="34"/>
        <v>410</v>
      </c>
      <c r="O69" s="15"/>
      <c r="P69" s="16" t="str">
        <f t="shared" si="35"/>
        <v/>
      </c>
      <c r="Q69" s="17" t="str">
        <f t="shared" si="36"/>
        <v/>
      </c>
      <c r="R69" s="14" t="s">
        <v>36</v>
      </c>
      <c r="S69" s="14"/>
    </row>
    <row r="70" spans="1:19" ht="16" x14ac:dyDescent="0.2">
      <c r="A70" s="13" t="s">
        <v>140</v>
      </c>
      <c r="B70" s="14" t="s">
        <v>79</v>
      </c>
      <c r="C70" s="14" t="s">
        <v>672</v>
      </c>
      <c r="D70" s="14" t="s">
        <v>767</v>
      </c>
      <c r="E70" s="14" t="s">
        <v>765</v>
      </c>
      <c r="F70" s="14" t="s">
        <v>50</v>
      </c>
      <c r="G70" s="15">
        <v>430</v>
      </c>
      <c r="H70" s="15"/>
      <c r="I70" s="15">
        <v>500</v>
      </c>
      <c r="J70" s="16">
        <f t="shared" si="31"/>
        <v>465</v>
      </c>
      <c r="K70" s="16">
        <f t="shared" si="32"/>
        <v>470</v>
      </c>
      <c r="L70" s="16">
        <f t="shared" si="37"/>
        <v>450</v>
      </c>
      <c r="M70" s="16">
        <f t="shared" si="33"/>
        <v>430</v>
      </c>
      <c r="N70" s="16">
        <f t="shared" si="34"/>
        <v>410</v>
      </c>
      <c r="O70" s="15"/>
      <c r="P70" s="16" t="str">
        <f t="shared" si="35"/>
        <v/>
      </c>
      <c r="Q70" s="17" t="str">
        <f t="shared" si="36"/>
        <v/>
      </c>
      <c r="R70" s="14" t="s">
        <v>36</v>
      </c>
      <c r="S70" s="14"/>
    </row>
    <row r="71" spans="1:19" ht="16" x14ac:dyDescent="0.2">
      <c r="A71" s="13" t="s">
        <v>141</v>
      </c>
      <c r="B71" s="14" t="s">
        <v>79</v>
      </c>
      <c r="C71" s="14" t="s">
        <v>673</v>
      </c>
      <c r="D71" s="14" t="s">
        <v>767</v>
      </c>
      <c r="E71" s="14" t="s">
        <v>765</v>
      </c>
      <c r="F71" s="14" t="s">
        <v>50</v>
      </c>
      <c r="G71" s="15">
        <v>430</v>
      </c>
      <c r="H71" s="20">
        <v>375</v>
      </c>
      <c r="I71" s="15">
        <v>500</v>
      </c>
      <c r="J71" s="16">
        <f t="shared" si="31"/>
        <v>435</v>
      </c>
      <c r="K71" s="16">
        <f t="shared" si="32"/>
        <v>440</v>
      </c>
      <c r="L71" s="16">
        <f t="shared" si="37"/>
        <v>420</v>
      </c>
      <c r="M71" s="16">
        <f t="shared" si="33"/>
        <v>400</v>
      </c>
      <c r="N71" s="16">
        <f t="shared" si="34"/>
        <v>390</v>
      </c>
      <c r="O71" s="15"/>
      <c r="P71" s="16" t="str">
        <f t="shared" si="35"/>
        <v/>
      </c>
      <c r="Q71" s="17" t="str">
        <f t="shared" si="36"/>
        <v/>
      </c>
      <c r="R71" s="14" t="s">
        <v>36</v>
      </c>
      <c r="S71" s="14"/>
    </row>
    <row r="72" spans="1:19" ht="16" x14ac:dyDescent="0.2">
      <c r="A72" s="13" t="s">
        <v>142</v>
      </c>
      <c r="B72" s="14" t="s">
        <v>79</v>
      </c>
      <c r="C72" s="14" t="s">
        <v>674</v>
      </c>
      <c r="D72" s="14" t="s">
        <v>135</v>
      </c>
      <c r="E72" s="14" t="s">
        <v>776</v>
      </c>
      <c r="F72" s="14" t="s">
        <v>694</v>
      </c>
      <c r="G72" s="15">
        <v>300</v>
      </c>
      <c r="H72" s="15"/>
      <c r="I72" s="15">
        <v>500</v>
      </c>
      <c r="J72" s="16">
        <f t="shared" si="31"/>
        <v>400</v>
      </c>
      <c r="K72" s="16">
        <f t="shared" si="32"/>
        <v>400</v>
      </c>
      <c r="L72" s="16">
        <f t="shared" si="37"/>
        <v>380</v>
      </c>
      <c r="M72" s="16">
        <f t="shared" si="33"/>
        <v>370</v>
      </c>
      <c r="N72" s="16">
        <f t="shared" si="34"/>
        <v>350</v>
      </c>
      <c r="O72" s="15"/>
      <c r="P72" s="16" t="str">
        <f t="shared" si="35"/>
        <v/>
      </c>
      <c r="Q72" s="17" t="str">
        <f t="shared" si="36"/>
        <v/>
      </c>
      <c r="R72" s="14" t="s">
        <v>36</v>
      </c>
      <c r="S72" s="14"/>
    </row>
    <row r="73" spans="1:19" ht="16" x14ac:dyDescent="0.2">
      <c r="A73" s="13" t="s">
        <v>143</v>
      </c>
      <c r="B73" s="14" t="s">
        <v>79</v>
      </c>
      <c r="C73" s="14" t="s">
        <v>778</v>
      </c>
      <c r="D73" s="14" t="s">
        <v>777</v>
      </c>
      <c r="E73" s="14" t="s">
        <v>200</v>
      </c>
      <c r="F73" s="14" t="s">
        <v>783</v>
      </c>
      <c r="G73" s="15">
        <v>700</v>
      </c>
      <c r="H73" s="20">
        <v>1050</v>
      </c>
      <c r="I73" s="15">
        <v>1200</v>
      </c>
      <c r="J73" s="16">
        <f t="shared" si="31"/>
        <v>983</v>
      </c>
      <c r="K73" s="16">
        <f t="shared" si="32"/>
        <v>980</v>
      </c>
      <c r="L73" s="16">
        <f t="shared" si="37"/>
        <v>930</v>
      </c>
      <c r="M73" s="16">
        <f t="shared" si="33"/>
        <v>900</v>
      </c>
      <c r="N73" s="16">
        <f t="shared" si="34"/>
        <v>860</v>
      </c>
      <c r="O73" s="15"/>
      <c r="P73" s="16" t="str">
        <f t="shared" si="35"/>
        <v/>
      </c>
      <c r="Q73" s="17" t="str">
        <f t="shared" si="36"/>
        <v/>
      </c>
      <c r="R73" s="14" t="s">
        <v>36</v>
      </c>
      <c r="S73" s="14"/>
    </row>
    <row r="74" spans="1:19" ht="16" x14ac:dyDescent="0.2">
      <c r="A74" s="13" t="s">
        <v>144</v>
      </c>
      <c r="B74" s="14" t="s">
        <v>79</v>
      </c>
      <c r="C74" s="14" t="s">
        <v>779</v>
      </c>
      <c r="D74" s="14" t="s">
        <v>777</v>
      </c>
      <c r="E74" s="14" t="s">
        <v>784</v>
      </c>
      <c r="F74" s="14" t="s">
        <v>783</v>
      </c>
      <c r="G74" s="15">
        <v>700</v>
      </c>
      <c r="H74" s="20">
        <v>1050</v>
      </c>
      <c r="I74" s="15">
        <v>1200</v>
      </c>
      <c r="J74" s="16">
        <f t="shared" si="31"/>
        <v>983</v>
      </c>
      <c r="K74" s="16">
        <f t="shared" si="32"/>
        <v>980</v>
      </c>
      <c r="L74" s="16">
        <f t="shared" si="37"/>
        <v>930</v>
      </c>
      <c r="M74" s="16">
        <f t="shared" si="33"/>
        <v>900</v>
      </c>
      <c r="N74" s="16">
        <f t="shared" si="34"/>
        <v>860</v>
      </c>
      <c r="O74" s="15"/>
      <c r="P74" s="16" t="str">
        <f t="shared" si="35"/>
        <v/>
      </c>
      <c r="Q74" s="17" t="str">
        <f t="shared" si="36"/>
        <v/>
      </c>
      <c r="R74" s="14" t="s">
        <v>36</v>
      </c>
      <c r="S74" s="14"/>
    </row>
    <row r="75" spans="1:19" ht="16" x14ac:dyDescent="0.2">
      <c r="A75" s="13" t="s">
        <v>145</v>
      </c>
      <c r="B75" s="14" t="s">
        <v>79</v>
      </c>
      <c r="C75" s="14" t="s">
        <v>780</v>
      </c>
      <c r="D75" s="14" t="s">
        <v>777</v>
      </c>
      <c r="E75" s="14" t="s">
        <v>785</v>
      </c>
      <c r="F75" s="14" t="s">
        <v>783</v>
      </c>
      <c r="G75" s="15">
        <v>700</v>
      </c>
      <c r="H75" s="20">
        <v>1050</v>
      </c>
      <c r="I75" s="15">
        <v>1200</v>
      </c>
      <c r="J75" s="16">
        <f t="shared" si="31"/>
        <v>983</v>
      </c>
      <c r="K75" s="16">
        <f t="shared" si="32"/>
        <v>980</v>
      </c>
      <c r="L75" s="16">
        <f t="shared" si="37"/>
        <v>930</v>
      </c>
      <c r="M75" s="16">
        <f t="shared" si="33"/>
        <v>900</v>
      </c>
      <c r="N75" s="16">
        <f t="shared" si="34"/>
        <v>860</v>
      </c>
      <c r="O75" s="15"/>
      <c r="P75" s="16" t="str">
        <f t="shared" si="35"/>
        <v/>
      </c>
      <c r="Q75" s="17" t="str">
        <f t="shared" si="36"/>
        <v/>
      </c>
      <c r="R75" s="14" t="s">
        <v>36</v>
      </c>
      <c r="S75" s="14"/>
    </row>
    <row r="76" spans="1:19" ht="16" x14ac:dyDescent="0.2">
      <c r="A76" s="13" t="s">
        <v>146</v>
      </c>
      <c r="B76" s="14" t="s">
        <v>79</v>
      </c>
      <c r="C76" s="14" t="s">
        <v>781</v>
      </c>
      <c r="D76" s="14" t="s">
        <v>777</v>
      </c>
      <c r="E76" s="14" t="s">
        <v>203</v>
      </c>
      <c r="F76" s="14" t="s">
        <v>783</v>
      </c>
      <c r="G76" s="15">
        <v>700</v>
      </c>
      <c r="H76" s="20">
        <v>1050</v>
      </c>
      <c r="I76" s="15">
        <v>1200</v>
      </c>
      <c r="J76" s="16">
        <f t="shared" si="31"/>
        <v>983</v>
      </c>
      <c r="K76" s="16">
        <f t="shared" si="32"/>
        <v>980</v>
      </c>
      <c r="L76" s="16">
        <f t="shared" si="37"/>
        <v>930</v>
      </c>
      <c r="M76" s="16">
        <f t="shared" si="33"/>
        <v>900</v>
      </c>
      <c r="N76" s="16">
        <f t="shared" si="34"/>
        <v>860</v>
      </c>
      <c r="O76" s="15"/>
      <c r="P76" s="16" t="str">
        <f t="shared" si="35"/>
        <v/>
      </c>
      <c r="Q76" s="17" t="str">
        <f t="shared" si="36"/>
        <v/>
      </c>
      <c r="R76" s="14" t="s">
        <v>36</v>
      </c>
      <c r="S76" s="14"/>
    </row>
    <row r="77" spans="1:19" ht="16" x14ac:dyDescent="0.2">
      <c r="A77" s="13" t="s">
        <v>147</v>
      </c>
      <c r="B77" s="14" t="s">
        <v>79</v>
      </c>
      <c r="C77" s="14" t="s">
        <v>782</v>
      </c>
      <c r="D77" s="14" t="s">
        <v>777</v>
      </c>
      <c r="E77" s="14" t="s">
        <v>786</v>
      </c>
      <c r="F77" s="14" t="s">
        <v>783</v>
      </c>
      <c r="G77" s="15">
        <v>700</v>
      </c>
      <c r="H77" s="20">
        <v>1050</v>
      </c>
      <c r="I77" s="15">
        <v>1200</v>
      </c>
      <c r="J77" s="16">
        <f t="shared" si="31"/>
        <v>983</v>
      </c>
      <c r="K77" s="16">
        <f t="shared" si="32"/>
        <v>980</v>
      </c>
      <c r="L77" s="16">
        <f t="shared" si="37"/>
        <v>930</v>
      </c>
      <c r="M77" s="16">
        <f t="shared" si="33"/>
        <v>900</v>
      </c>
      <c r="N77" s="16">
        <f t="shared" si="34"/>
        <v>860</v>
      </c>
      <c r="O77" s="15"/>
      <c r="P77" s="16" t="str">
        <f t="shared" si="35"/>
        <v/>
      </c>
      <c r="Q77" s="17" t="str">
        <f t="shared" si="36"/>
        <v/>
      </c>
      <c r="R77" s="14" t="s">
        <v>36</v>
      </c>
      <c r="S77" s="14"/>
    </row>
    <row r="78" spans="1:19" ht="16" x14ac:dyDescent="0.2">
      <c r="A78" s="13" t="s">
        <v>148</v>
      </c>
      <c r="B78" s="14" t="s">
        <v>680</v>
      </c>
      <c r="C78" s="14" t="s">
        <v>788</v>
      </c>
      <c r="D78" s="14" t="s">
        <v>129</v>
      </c>
      <c r="E78" s="14" t="s">
        <v>789</v>
      </c>
      <c r="F78" s="14" t="s">
        <v>50</v>
      </c>
      <c r="G78" s="15">
        <v>450</v>
      </c>
      <c r="H78" s="15">
        <v>480</v>
      </c>
      <c r="I78" s="15">
        <v>500</v>
      </c>
      <c r="J78" s="16">
        <f t="shared" si="31"/>
        <v>477</v>
      </c>
      <c r="K78" s="16">
        <f t="shared" si="32"/>
        <v>480</v>
      </c>
      <c r="L78" s="16">
        <f t="shared" si="37"/>
        <v>460</v>
      </c>
      <c r="M78" s="16">
        <f t="shared" si="33"/>
        <v>440</v>
      </c>
      <c r="N78" s="16">
        <f t="shared" si="34"/>
        <v>420</v>
      </c>
      <c r="O78" s="15"/>
      <c r="P78" s="16" t="str">
        <f t="shared" si="35"/>
        <v/>
      </c>
      <c r="Q78" s="17" t="str">
        <f t="shared" si="36"/>
        <v/>
      </c>
      <c r="R78" s="14" t="s">
        <v>36</v>
      </c>
      <c r="S78" s="14"/>
    </row>
    <row r="79" spans="1:19" ht="16" x14ac:dyDescent="0.2">
      <c r="A79" s="13" t="s">
        <v>149</v>
      </c>
      <c r="B79" s="14" t="s">
        <v>680</v>
      </c>
      <c r="C79" s="14" t="s">
        <v>676</v>
      </c>
      <c r="D79" s="14" t="s">
        <v>129</v>
      </c>
      <c r="E79" s="14" t="s">
        <v>787</v>
      </c>
      <c r="F79" s="14" t="s">
        <v>50</v>
      </c>
      <c r="G79" s="15">
        <v>450</v>
      </c>
      <c r="H79" s="15">
        <v>480</v>
      </c>
      <c r="I79" s="15">
        <v>500</v>
      </c>
      <c r="J79" s="16">
        <f t="shared" si="31"/>
        <v>477</v>
      </c>
      <c r="K79" s="16">
        <f t="shared" si="32"/>
        <v>480</v>
      </c>
      <c r="L79" s="16">
        <f>IF(K79="","",ROUND(K79*95%/10,0)*10)</f>
        <v>460</v>
      </c>
      <c r="M79" s="16">
        <f>IF(K79="","",ROUND(K79*92%/10,0)*10)</f>
        <v>440</v>
      </c>
      <c r="N79" s="16">
        <f>IF(K79="","",ROUND(K79*88%/10,0)*10)</f>
        <v>420</v>
      </c>
      <c r="O79" s="15"/>
      <c r="P79" s="16" t="str">
        <f>IF(OR(K79="",O79=""),"",K79-O79)</f>
        <v/>
      </c>
      <c r="Q79" s="17" t="str">
        <f>IF(OR(K79="",O79="",K79=0),"",P79/K79)</f>
        <v/>
      </c>
      <c r="R79" s="14" t="s">
        <v>36</v>
      </c>
      <c r="S79" s="14"/>
    </row>
    <row r="80" spans="1:19" ht="16" x14ac:dyDescent="0.2">
      <c r="A80" s="13" t="s">
        <v>150</v>
      </c>
      <c r="B80" s="14" t="s">
        <v>680</v>
      </c>
      <c r="C80" s="14" t="s">
        <v>675</v>
      </c>
      <c r="D80" s="14" t="s">
        <v>129</v>
      </c>
      <c r="E80" s="14" t="s">
        <v>790</v>
      </c>
      <c r="F80" s="14" t="s">
        <v>50</v>
      </c>
      <c r="G80" s="15">
        <v>450</v>
      </c>
      <c r="H80" s="15">
        <v>480</v>
      </c>
      <c r="I80" s="15">
        <v>500</v>
      </c>
      <c r="J80" s="16">
        <f>IF(COUNT(G80:I80)=0,"",ROUND(AVERAGE(G80:I80),0))</f>
        <v>477</v>
      </c>
      <c r="K80" s="16">
        <f>IF(J80="","",ROUND(J80/10,0)*10)</f>
        <v>480</v>
      </c>
      <c r="L80" s="16">
        <f t="shared" ref="L80:L86" si="38">IF(K80="","",ROUND(K80*95%/10,0)*10)</f>
        <v>460</v>
      </c>
      <c r="M80" s="16">
        <f t="shared" ref="M80:M86" si="39">IF(K80="","",ROUND(K80*92%/10,0)*10)</f>
        <v>440</v>
      </c>
      <c r="N80" s="16">
        <f t="shared" ref="N80:N86" si="40">IF(K80="","",ROUND(K80*88%/10,0)*10)</f>
        <v>420</v>
      </c>
      <c r="O80" s="15"/>
      <c r="P80" s="16" t="str">
        <f t="shared" ref="P80:P86" si="41">IF(OR(K80="",O80=""),"",K80-O80)</f>
        <v/>
      </c>
      <c r="Q80" s="17" t="str">
        <f t="shared" ref="Q80:Q86" si="42">IF(OR(K80="",O80="",K80=0),"",P80/K80)</f>
        <v/>
      </c>
      <c r="R80" s="14" t="s">
        <v>36</v>
      </c>
      <c r="S80" s="14"/>
    </row>
    <row r="81" spans="1:19" ht="16" x14ac:dyDescent="0.2">
      <c r="A81" s="13" t="s">
        <v>151</v>
      </c>
      <c r="B81" s="14" t="s">
        <v>680</v>
      </c>
      <c r="C81" s="14" t="s">
        <v>677</v>
      </c>
      <c r="D81" s="14" t="s">
        <v>132</v>
      </c>
      <c r="E81" s="14" t="s">
        <v>789</v>
      </c>
      <c r="F81" s="14" t="s">
        <v>50</v>
      </c>
      <c r="G81" s="15">
        <v>450</v>
      </c>
      <c r="H81" s="15">
        <v>450</v>
      </c>
      <c r="I81" s="15">
        <v>500</v>
      </c>
      <c r="J81" s="16">
        <f t="shared" ref="J81" si="43">IF(COUNT(G81:I81)=0,"",ROUND(AVERAGE(G81:I81),0))</f>
        <v>467</v>
      </c>
      <c r="K81" s="16">
        <f t="shared" si="32"/>
        <v>470</v>
      </c>
      <c r="L81" s="16">
        <f t="shared" si="38"/>
        <v>450</v>
      </c>
      <c r="M81" s="16">
        <f t="shared" si="39"/>
        <v>430</v>
      </c>
      <c r="N81" s="16">
        <f t="shared" si="40"/>
        <v>410</v>
      </c>
      <c r="O81" s="15"/>
      <c r="P81" s="16" t="str">
        <f t="shared" si="41"/>
        <v/>
      </c>
      <c r="Q81" s="17" t="str">
        <f t="shared" si="42"/>
        <v/>
      </c>
      <c r="R81" s="14" t="s">
        <v>36</v>
      </c>
      <c r="S81" s="14"/>
    </row>
    <row r="82" spans="1:19" ht="16" x14ac:dyDescent="0.2">
      <c r="A82" s="13" t="s">
        <v>152</v>
      </c>
      <c r="B82" s="14" t="s">
        <v>680</v>
      </c>
      <c r="C82" s="14" t="s">
        <v>678</v>
      </c>
      <c r="D82" s="14" t="s">
        <v>132</v>
      </c>
      <c r="E82" s="14" t="s">
        <v>792</v>
      </c>
      <c r="F82" s="14" t="s">
        <v>50</v>
      </c>
      <c r="G82" s="15">
        <v>450</v>
      </c>
      <c r="H82" s="15">
        <v>450</v>
      </c>
      <c r="I82" s="15">
        <v>500</v>
      </c>
      <c r="J82" s="16">
        <f>IF(COUNT(G82:I82)=0,"",ROUND(AVERAGE(G82:I82),0))</f>
        <v>467</v>
      </c>
      <c r="K82" s="16">
        <f>IF(J82="","",ROUND(J82/10,0)*10)</f>
        <v>470</v>
      </c>
      <c r="L82" s="16">
        <f t="shared" si="38"/>
        <v>450</v>
      </c>
      <c r="M82" s="16">
        <f t="shared" si="39"/>
        <v>430</v>
      </c>
      <c r="N82" s="16">
        <f t="shared" si="40"/>
        <v>410</v>
      </c>
      <c r="O82" s="15"/>
      <c r="P82" s="16" t="str">
        <f t="shared" si="41"/>
        <v/>
      </c>
      <c r="Q82" s="17" t="str">
        <f t="shared" si="42"/>
        <v/>
      </c>
      <c r="R82" s="14" t="s">
        <v>36</v>
      </c>
      <c r="S82" s="14"/>
    </row>
    <row r="83" spans="1:19" ht="16" x14ac:dyDescent="0.2">
      <c r="A83" s="13" t="s">
        <v>153</v>
      </c>
      <c r="B83" s="14" t="s">
        <v>680</v>
      </c>
      <c r="C83" s="14" t="s">
        <v>793</v>
      </c>
      <c r="D83" s="14" t="s">
        <v>124</v>
      </c>
      <c r="E83" s="14" t="s">
        <v>791</v>
      </c>
      <c r="F83" s="14" t="s">
        <v>50</v>
      </c>
      <c r="G83" s="15">
        <v>480</v>
      </c>
      <c r="H83" s="20">
        <v>375</v>
      </c>
      <c r="I83" s="15">
        <v>380</v>
      </c>
      <c r="J83" s="16">
        <f t="shared" ref="J83:J98" si="44">IF(COUNT(G83:I83)=0,"",ROUND(AVERAGE(G83:I83),0))</f>
        <v>412</v>
      </c>
      <c r="K83" s="16">
        <f t="shared" ref="K83:K100" si="45">IF(J83="","",ROUND(J83/10,0)*10)</f>
        <v>410</v>
      </c>
      <c r="L83" s="16">
        <f t="shared" si="38"/>
        <v>390</v>
      </c>
      <c r="M83" s="16">
        <f t="shared" si="39"/>
        <v>380</v>
      </c>
      <c r="N83" s="16">
        <f t="shared" si="40"/>
        <v>360</v>
      </c>
      <c r="O83" s="15"/>
      <c r="P83" s="16" t="str">
        <f t="shared" si="41"/>
        <v/>
      </c>
      <c r="Q83" s="17" t="str">
        <f t="shared" si="42"/>
        <v/>
      </c>
      <c r="R83" s="14" t="s">
        <v>36</v>
      </c>
      <c r="S83" s="14"/>
    </row>
    <row r="84" spans="1:19" ht="16" x14ac:dyDescent="0.2">
      <c r="A84" s="13" t="s">
        <v>155</v>
      </c>
      <c r="B84" s="14" t="s">
        <v>680</v>
      </c>
      <c r="C84" s="14" t="s">
        <v>794</v>
      </c>
      <c r="D84" s="14" t="s">
        <v>124</v>
      </c>
      <c r="E84" s="14" t="s">
        <v>791</v>
      </c>
      <c r="F84" s="14" t="s">
        <v>50</v>
      </c>
      <c r="G84" s="15">
        <v>480</v>
      </c>
      <c r="H84" s="20">
        <v>375</v>
      </c>
      <c r="I84" s="15">
        <v>380</v>
      </c>
      <c r="J84" s="16">
        <f t="shared" si="44"/>
        <v>412</v>
      </c>
      <c r="K84" s="16">
        <f t="shared" si="45"/>
        <v>410</v>
      </c>
      <c r="L84" s="16">
        <f t="shared" si="38"/>
        <v>390</v>
      </c>
      <c r="M84" s="16">
        <f t="shared" si="39"/>
        <v>380</v>
      </c>
      <c r="N84" s="16">
        <f t="shared" si="40"/>
        <v>360</v>
      </c>
      <c r="O84" s="15"/>
      <c r="P84" s="16" t="str">
        <f t="shared" si="41"/>
        <v/>
      </c>
      <c r="Q84" s="17" t="str">
        <f t="shared" si="42"/>
        <v/>
      </c>
      <c r="R84" s="14" t="s">
        <v>36</v>
      </c>
      <c r="S84" s="14"/>
    </row>
    <row r="85" spans="1:19" ht="16" x14ac:dyDescent="0.2">
      <c r="A85" s="13" t="s">
        <v>157</v>
      </c>
      <c r="B85" s="14" t="s">
        <v>680</v>
      </c>
      <c r="C85" s="14" t="s">
        <v>675</v>
      </c>
      <c r="D85" s="14"/>
      <c r="E85" s="14"/>
      <c r="F85" s="14"/>
      <c r="G85" s="15"/>
      <c r="H85" s="15"/>
      <c r="I85" s="15"/>
      <c r="J85" s="16"/>
      <c r="K85" s="16" t="str">
        <f t="shared" si="45"/>
        <v/>
      </c>
      <c r="L85" s="16" t="str">
        <f t="shared" si="38"/>
        <v/>
      </c>
      <c r="M85" s="16" t="str">
        <f t="shared" si="39"/>
        <v/>
      </c>
      <c r="N85" s="16" t="str">
        <f t="shared" si="40"/>
        <v/>
      </c>
      <c r="O85" s="15"/>
      <c r="P85" s="16" t="str">
        <f t="shared" si="41"/>
        <v/>
      </c>
      <c r="Q85" s="17" t="str">
        <f t="shared" si="42"/>
        <v/>
      </c>
      <c r="R85" s="14" t="s">
        <v>36</v>
      </c>
      <c r="S85" s="14"/>
    </row>
    <row r="86" spans="1:19" ht="16" x14ac:dyDescent="0.2">
      <c r="A86" s="13" t="s">
        <v>158</v>
      </c>
      <c r="B86" s="14" t="s">
        <v>680</v>
      </c>
      <c r="C86" s="14" t="s">
        <v>123</v>
      </c>
      <c r="D86" s="14"/>
      <c r="E86" s="14"/>
      <c r="F86" s="14"/>
      <c r="G86" s="15"/>
      <c r="H86" s="15"/>
      <c r="I86" s="15"/>
      <c r="J86" s="16" t="str">
        <f t="shared" si="44"/>
        <v/>
      </c>
      <c r="K86" s="16" t="str">
        <f t="shared" si="45"/>
        <v/>
      </c>
      <c r="L86" s="16" t="str">
        <f t="shared" si="38"/>
        <v/>
      </c>
      <c r="M86" s="16" t="str">
        <f t="shared" si="39"/>
        <v/>
      </c>
      <c r="N86" s="16" t="str">
        <f t="shared" si="40"/>
        <v/>
      </c>
      <c r="O86" s="15"/>
      <c r="P86" s="16" t="str">
        <f t="shared" si="41"/>
        <v/>
      </c>
      <c r="Q86" s="17" t="str">
        <f t="shared" si="42"/>
        <v/>
      </c>
      <c r="R86" s="14" t="s">
        <v>36</v>
      </c>
      <c r="S86" s="14"/>
    </row>
    <row r="87" spans="1:19" ht="16" x14ac:dyDescent="0.2">
      <c r="A87" s="13" t="s">
        <v>160</v>
      </c>
      <c r="B87" s="14" t="s">
        <v>680</v>
      </c>
      <c r="C87" s="14" t="s">
        <v>679</v>
      </c>
      <c r="D87" s="14"/>
      <c r="E87" s="14"/>
      <c r="F87" s="14"/>
      <c r="G87" s="15"/>
      <c r="H87" s="15"/>
      <c r="I87" s="15"/>
      <c r="J87" s="16" t="str">
        <f t="shared" si="44"/>
        <v/>
      </c>
      <c r="K87" s="16" t="str">
        <f t="shared" si="45"/>
        <v/>
      </c>
      <c r="L87" s="16" t="str">
        <f>IF(K87="","",ROUND(K87*95%/10,0)*10)</f>
        <v/>
      </c>
      <c r="M87" s="16" t="str">
        <f>IF(K87="","",ROUND(K87*92%/10,0)*10)</f>
        <v/>
      </c>
      <c r="N87" s="16" t="str">
        <f>IF(K87="","",ROUND(K87*88%/10,0)*10)</f>
        <v/>
      </c>
      <c r="O87" s="15"/>
      <c r="P87" s="16" t="str">
        <f>IF(OR(K87="",O87=""),"",K87-O87)</f>
        <v/>
      </c>
      <c r="Q87" s="17" t="str">
        <f>IF(OR(K87="",O87="",K87=0),"",P87/K87)</f>
        <v/>
      </c>
      <c r="R87" s="14" t="s">
        <v>36</v>
      </c>
      <c r="S87" s="14"/>
    </row>
    <row r="88" spans="1:19" ht="16" x14ac:dyDescent="0.2">
      <c r="A88" s="13" t="s">
        <v>161</v>
      </c>
      <c r="B88" s="14" t="s">
        <v>681</v>
      </c>
      <c r="C88" s="14" t="s">
        <v>683</v>
      </c>
      <c r="D88" s="14" t="s">
        <v>682</v>
      </c>
      <c r="E88" s="14" t="s">
        <v>797</v>
      </c>
      <c r="F88" s="14" t="s">
        <v>35</v>
      </c>
      <c r="G88" s="15">
        <v>450</v>
      </c>
      <c r="H88" s="15">
        <v>400</v>
      </c>
      <c r="I88" s="15">
        <v>400</v>
      </c>
      <c r="J88" s="16">
        <f t="shared" si="44"/>
        <v>417</v>
      </c>
      <c r="K88" s="16">
        <f t="shared" si="45"/>
        <v>420</v>
      </c>
      <c r="L88" s="16">
        <f t="shared" ref="L88:L97" si="46">IF(K88="","",ROUND(K88*95%/10,0)*10)</f>
        <v>400</v>
      </c>
      <c r="M88" s="16">
        <f t="shared" ref="M88:M97" si="47">IF(K88="","",ROUND(K88*92%/10,0)*10)</f>
        <v>390</v>
      </c>
      <c r="N88" s="16">
        <f t="shared" ref="N88:N97" si="48">IF(K88="","",ROUND(K88*88%/10,0)*10)</f>
        <v>370</v>
      </c>
      <c r="O88" s="15"/>
      <c r="P88" s="16" t="str">
        <f t="shared" ref="P88:P97" si="49">IF(OR(K88="",O88=""),"",K88-O88)</f>
        <v/>
      </c>
      <c r="Q88" s="17" t="str">
        <f t="shared" ref="Q88:Q97" si="50">IF(OR(K88="",O88="",K88=0),"",P88/K88)</f>
        <v/>
      </c>
      <c r="R88" s="14" t="s">
        <v>36</v>
      </c>
      <c r="S88" s="14"/>
    </row>
    <row r="89" spans="1:19" ht="16" x14ac:dyDescent="0.2">
      <c r="A89" s="13" t="s">
        <v>163</v>
      </c>
      <c r="B89" s="14" t="s">
        <v>681</v>
      </c>
      <c r="C89" s="14" t="s">
        <v>799</v>
      </c>
      <c r="D89" s="14" t="s">
        <v>682</v>
      </c>
      <c r="E89" s="14" t="s">
        <v>800</v>
      </c>
      <c r="F89" s="14" t="s">
        <v>35</v>
      </c>
      <c r="G89" s="15">
        <v>350</v>
      </c>
      <c r="H89" s="15"/>
      <c r="I89" s="15">
        <v>400</v>
      </c>
      <c r="J89" s="16">
        <f t="shared" si="44"/>
        <v>375</v>
      </c>
      <c r="K89" s="16">
        <f t="shared" si="45"/>
        <v>380</v>
      </c>
      <c r="L89" s="16">
        <f t="shared" si="46"/>
        <v>360</v>
      </c>
      <c r="M89" s="16">
        <f t="shared" si="47"/>
        <v>350</v>
      </c>
      <c r="N89" s="16">
        <f t="shared" si="48"/>
        <v>330</v>
      </c>
      <c r="O89" s="15"/>
      <c r="P89" s="16" t="str">
        <f t="shared" si="49"/>
        <v/>
      </c>
      <c r="Q89" s="17" t="str">
        <f t="shared" si="50"/>
        <v/>
      </c>
      <c r="R89" s="14" t="s">
        <v>36</v>
      </c>
      <c r="S89" s="14"/>
    </row>
    <row r="90" spans="1:19" ht="16" x14ac:dyDescent="0.2">
      <c r="A90" s="13" t="s">
        <v>165</v>
      </c>
      <c r="B90" s="14" t="s">
        <v>681</v>
      </c>
      <c r="C90" s="14" t="s">
        <v>684</v>
      </c>
      <c r="D90" s="14"/>
      <c r="E90" s="14"/>
      <c r="F90" s="14"/>
      <c r="G90" s="15"/>
      <c r="H90" s="15"/>
      <c r="I90" s="15"/>
      <c r="J90" s="16" t="str">
        <f t="shared" si="44"/>
        <v/>
      </c>
      <c r="K90" s="16" t="str">
        <f t="shared" si="45"/>
        <v/>
      </c>
      <c r="L90" s="16" t="str">
        <f t="shared" si="46"/>
        <v/>
      </c>
      <c r="M90" s="16" t="str">
        <f t="shared" si="47"/>
        <v/>
      </c>
      <c r="N90" s="16" t="str">
        <f t="shared" si="48"/>
        <v/>
      </c>
      <c r="O90" s="15"/>
      <c r="P90" s="16" t="str">
        <f t="shared" si="49"/>
        <v/>
      </c>
      <c r="Q90" s="17" t="str">
        <f t="shared" si="50"/>
        <v/>
      </c>
      <c r="R90" s="14" t="s">
        <v>36</v>
      </c>
      <c r="S90" s="14"/>
    </row>
    <row r="91" spans="1:19" ht="16" x14ac:dyDescent="0.2">
      <c r="A91" s="13" t="s">
        <v>166</v>
      </c>
      <c r="B91" s="14" t="s">
        <v>681</v>
      </c>
      <c r="C91" s="14" t="s">
        <v>685</v>
      </c>
      <c r="D91" s="14" t="s">
        <v>682</v>
      </c>
      <c r="E91" s="14" t="s">
        <v>774</v>
      </c>
      <c r="F91" s="14" t="s">
        <v>798</v>
      </c>
      <c r="G91" s="15">
        <v>390</v>
      </c>
      <c r="H91" s="21">
        <v>395</v>
      </c>
      <c r="I91" s="15">
        <v>400</v>
      </c>
      <c r="J91" s="16">
        <f t="shared" si="44"/>
        <v>395</v>
      </c>
      <c r="K91" s="16">
        <f t="shared" si="45"/>
        <v>400</v>
      </c>
      <c r="L91" s="16">
        <f t="shared" si="46"/>
        <v>380</v>
      </c>
      <c r="M91" s="16">
        <f t="shared" si="47"/>
        <v>370</v>
      </c>
      <c r="N91" s="16">
        <f t="shared" si="48"/>
        <v>350</v>
      </c>
      <c r="O91" s="15"/>
      <c r="P91" s="16" t="str">
        <f t="shared" si="49"/>
        <v/>
      </c>
      <c r="Q91" s="17" t="str">
        <f t="shared" si="50"/>
        <v/>
      </c>
      <c r="R91" s="14" t="s">
        <v>36</v>
      </c>
      <c r="S91" s="14"/>
    </row>
    <row r="92" spans="1:19" ht="16" x14ac:dyDescent="0.2">
      <c r="A92" s="13" t="s">
        <v>167</v>
      </c>
      <c r="B92" s="14" t="s">
        <v>681</v>
      </c>
      <c r="C92" s="14" t="s">
        <v>686</v>
      </c>
      <c r="D92" s="14" t="s">
        <v>682</v>
      </c>
      <c r="E92" s="14" t="s">
        <v>803</v>
      </c>
      <c r="F92" s="14" t="s">
        <v>35</v>
      </c>
      <c r="G92" s="15">
        <v>380</v>
      </c>
      <c r="H92" s="15"/>
      <c r="I92" s="15"/>
      <c r="J92" s="16">
        <f t="shared" si="44"/>
        <v>380</v>
      </c>
      <c r="K92" s="16">
        <f t="shared" si="45"/>
        <v>380</v>
      </c>
      <c r="L92" s="16">
        <f t="shared" si="46"/>
        <v>360</v>
      </c>
      <c r="M92" s="16">
        <f t="shared" si="47"/>
        <v>350</v>
      </c>
      <c r="N92" s="16">
        <f t="shared" si="48"/>
        <v>330</v>
      </c>
      <c r="O92" s="15"/>
      <c r="P92" s="16" t="str">
        <f t="shared" si="49"/>
        <v/>
      </c>
      <c r="Q92" s="17" t="str">
        <f t="shared" si="50"/>
        <v/>
      </c>
      <c r="R92" s="14" t="s">
        <v>36</v>
      </c>
      <c r="S92" s="14"/>
    </row>
    <row r="93" spans="1:19" ht="16" x14ac:dyDescent="0.2">
      <c r="A93" s="13" t="s">
        <v>168</v>
      </c>
      <c r="B93" s="14" t="s">
        <v>681</v>
      </c>
      <c r="C93" s="14" t="s">
        <v>687</v>
      </c>
      <c r="D93" s="14" t="s">
        <v>682</v>
      </c>
      <c r="E93" s="14" t="s">
        <v>802</v>
      </c>
      <c r="F93" s="14" t="s">
        <v>35</v>
      </c>
      <c r="G93" s="15">
        <v>450</v>
      </c>
      <c r="H93" s="15"/>
      <c r="I93" s="15">
        <v>400</v>
      </c>
      <c r="J93" s="16">
        <f t="shared" si="44"/>
        <v>425</v>
      </c>
      <c r="K93" s="16">
        <f t="shared" si="45"/>
        <v>430</v>
      </c>
      <c r="L93" s="16">
        <f t="shared" si="46"/>
        <v>410</v>
      </c>
      <c r="M93" s="16">
        <f t="shared" si="47"/>
        <v>400</v>
      </c>
      <c r="N93" s="16">
        <f t="shared" si="48"/>
        <v>380</v>
      </c>
      <c r="O93" s="15"/>
      <c r="P93" s="16" t="str">
        <f t="shared" si="49"/>
        <v/>
      </c>
      <c r="Q93" s="17" t="str">
        <f t="shared" si="50"/>
        <v/>
      </c>
      <c r="R93" s="14" t="s">
        <v>36</v>
      </c>
      <c r="S93" s="14"/>
    </row>
    <row r="94" spans="1:19" ht="16" x14ac:dyDescent="0.2">
      <c r="A94" s="13" t="s">
        <v>169</v>
      </c>
      <c r="B94" s="14" t="s">
        <v>681</v>
      </c>
      <c r="C94" s="14" t="s">
        <v>689</v>
      </c>
      <c r="D94" s="14" t="s">
        <v>682</v>
      </c>
      <c r="E94" s="14" t="s">
        <v>801</v>
      </c>
      <c r="F94" s="14" t="s">
        <v>798</v>
      </c>
      <c r="G94" s="15">
        <v>390</v>
      </c>
      <c r="H94" s="15"/>
      <c r="I94" s="15">
        <v>400</v>
      </c>
      <c r="J94" s="16">
        <f t="shared" si="44"/>
        <v>395</v>
      </c>
      <c r="K94" s="16">
        <f t="shared" si="45"/>
        <v>400</v>
      </c>
      <c r="L94" s="16">
        <f t="shared" si="46"/>
        <v>380</v>
      </c>
      <c r="M94" s="16">
        <f t="shared" si="47"/>
        <v>370</v>
      </c>
      <c r="N94" s="16">
        <f t="shared" si="48"/>
        <v>350</v>
      </c>
      <c r="O94" s="15"/>
      <c r="P94" s="16" t="str">
        <f t="shared" si="49"/>
        <v/>
      </c>
      <c r="Q94" s="17" t="str">
        <f t="shared" si="50"/>
        <v/>
      </c>
      <c r="R94" s="14" t="s">
        <v>36</v>
      </c>
      <c r="S94" s="14"/>
    </row>
    <row r="95" spans="1:19" ht="16" x14ac:dyDescent="0.2">
      <c r="A95" s="13" t="s">
        <v>170</v>
      </c>
      <c r="B95" s="14" t="s">
        <v>681</v>
      </c>
      <c r="C95" s="14" t="s">
        <v>690</v>
      </c>
      <c r="D95" s="14" t="s">
        <v>682</v>
      </c>
      <c r="E95" s="14" t="s">
        <v>801</v>
      </c>
      <c r="F95" s="14" t="s">
        <v>798</v>
      </c>
      <c r="G95" s="15"/>
      <c r="H95" s="21">
        <v>440</v>
      </c>
      <c r="I95" s="15">
        <v>400</v>
      </c>
      <c r="J95" s="16">
        <f t="shared" si="44"/>
        <v>420</v>
      </c>
      <c r="K95" s="16">
        <f t="shared" si="45"/>
        <v>420</v>
      </c>
      <c r="L95" s="16">
        <f t="shared" si="46"/>
        <v>400</v>
      </c>
      <c r="M95" s="16">
        <f t="shared" si="47"/>
        <v>390</v>
      </c>
      <c r="N95" s="16">
        <f t="shared" si="48"/>
        <v>370</v>
      </c>
      <c r="O95" s="15"/>
      <c r="P95" s="16" t="str">
        <f t="shared" si="49"/>
        <v/>
      </c>
      <c r="Q95" s="17" t="str">
        <f t="shared" si="50"/>
        <v/>
      </c>
      <c r="R95" s="14" t="s">
        <v>36</v>
      </c>
      <c r="S95" s="14"/>
    </row>
    <row r="96" spans="1:19" ht="16" x14ac:dyDescent="0.2">
      <c r="A96" s="13" t="s">
        <v>171</v>
      </c>
      <c r="B96" s="14" t="s">
        <v>696</v>
      </c>
      <c r="C96" s="14" t="s">
        <v>691</v>
      </c>
      <c r="D96" s="14" t="s">
        <v>692</v>
      </c>
      <c r="E96" s="14" t="s">
        <v>693</v>
      </c>
      <c r="F96" s="14" t="s">
        <v>694</v>
      </c>
      <c r="G96" s="15"/>
      <c r="H96" s="15"/>
      <c r="I96" s="15"/>
      <c r="J96" s="16" t="str">
        <f t="shared" si="44"/>
        <v/>
      </c>
      <c r="K96" s="16" t="str">
        <f t="shared" si="45"/>
        <v/>
      </c>
      <c r="L96" s="16" t="str">
        <f t="shared" si="46"/>
        <v/>
      </c>
      <c r="M96" s="16" t="str">
        <f t="shared" si="47"/>
        <v/>
      </c>
      <c r="N96" s="16" t="str">
        <f t="shared" si="48"/>
        <v/>
      </c>
      <c r="O96" s="15"/>
      <c r="P96" s="16" t="str">
        <f t="shared" si="49"/>
        <v/>
      </c>
      <c r="Q96" s="17" t="str">
        <f t="shared" si="50"/>
        <v/>
      </c>
      <c r="R96" s="14" t="s">
        <v>36</v>
      </c>
      <c r="S96" s="14"/>
    </row>
    <row r="97" spans="1:19" ht="16" x14ac:dyDescent="0.2">
      <c r="A97" s="13" t="s">
        <v>172</v>
      </c>
      <c r="B97" s="14" t="s">
        <v>696</v>
      </c>
      <c r="C97" s="14" t="s">
        <v>61</v>
      </c>
      <c r="D97" s="14"/>
      <c r="E97" s="14" t="s">
        <v>699</v>
      </c>
      <c r="F97" s="14" t="s">
        <v>50</v>
      </c>
      <c r="G97" s="15"/>
      <c r="H97" s="15"/>
      <c r="I97" s="15"/>
      <c r="J97" s="16" t="str">
        <f t="shared" si="44"/>
        <v/>
      </c>
      <c r="K97" s="16" t="str">
        <f t="shared" si="45"/>
        <v/>
      </c>
      <c r="L97" s="16" t="str">
        <f t="shared" si="46"/>
        <v/>
      </c>
      <c r="M97" s="16" t="str">
        <f t="shared" si="47"/>
        <v/>
      </c>
      <c r="N97" s="16" t="str">
        <f t="shared" si="48"/>
        <v/>
      </c>
      <c r="O97" s="15"/>
      <c r="P97" s="16" t="str">
        <f t="shared" si="49"/>
        <v/>
      </c>
      <c r="Q97" s="17" t="str">
        <f t="shared" si="50"/>
        <v/>
      </c>
      <c r="R97" s="14" t="s">
        <v>36</v>
      </c>
      <c r="S97" s="14"/>
    </row>
    <row r="98" spans="1:19" ht="16" x14ac:dyDescent="0.2">
      <c r="A98" s="13" t="s">
        <v>173</v>
      </c>
      <c r="B98" s="14" t="s">
        <v>696</v>
      </c>
      <c r="C98" s="14" t="s">
        <v>63</v>
      </c>
      <c r="D98" s="14"/>
      <c r="E98" s="14" t="s">
        <v>121</v>
      </c>
      <c r="F98" s="14" t="s">
        <v>50</v>
      </c>
      <c r="G98" s="15"/>
      <c r="H98" s="15"/>
      <c r="I98" s="15"/>
      <c r="J98" s="16" t="str">
        <f t="shared" si="44"/>
        <v/>
      </c>
      <c r="K98" s="16" t="str">
        <f t="shared" si="45"/>
        <v/>
      </c>
      <c r="L98" s="16" t="str">
        <f>IF(K98="","",ROUND(K98*95%/10,0)*10)</f>
        <v/>
      </c>
      <c r="M98" s="16" t="str">
        <f>IF(K98="","",ROUND(K98*92%/10,0)*10)</f>
        <v/>
      </c>
      <c r="N98" s="16" t="str">
        <f>IF(K98="","",ROUND(K98*88%/10,0)*10)</f>
        <v/>
      </c>
      <c r="O98" s="15"/>
      <c r="P98" s="16" t="str">
        <f>IF(OR(K98="",O98=""),"",K98-O98)</f>
        <v/>
      </c>
      <c r="Q98" s="17" t="str">
        <f>IF(OR(K98="",O98="",K98=0),"",P98/K98)</f>
        <v/>
      </c>
      <c r="R98" s="14" t="s">
        <v>36</v>
      </c>
      <c r="S98" s="14"/>
    </row>
    <row r="99" spans="1:19" ht="16" x14ac:dyDescent="0.2">
      <c r="A99" s="13" t="s">
        <v>174</v>
      </c>
      <c r="B99" s="14" t="s">
        <v>164</v>
      </c>
      <c r="C99" s="14" t="s">
        <v>697</v>
      </c>
      <c r="D99" s="14"/>
      <c r="E99" s="14" t="s">
        <v>121</v>
      </c>
      <c r="F99" s="14" t="s">
        <v>50</v>
      </c>
      <c r="G99" s="15"/>
      <c r="H99" s="15"/>
      <c r="I99" s="15"/>
      <c r="J99" s="16" t="str">
        <f>IF(COUNT(G99:I99)=0,"",ROUND(AVERAGE(G99:I99),0))</f>
        <v/>
      </c>
      <c r="K99" s="16" t="str">
        <f>IF(J99="","",ROUND(J99/10,0)*10)</f>
        <v/>
      </c>
      <c r="L99" s="16" t="str">
        <f t="shared" ref="L99:L112" si="51">IF(K99="","",ROUND(K99*95%/10,0)*10)</f>
        <v/>
      </c>
      <c r="M99" s="16" t="str">
        <f t="shared" ref="M99:M112" si="52">IF(K99="","",ROUND(K99*92%/10,0)*10)</f>
        <v/>
      </c>
      <c r="N99" s="16" t="str">
        <f t="shared" ref="N99:N112" si="53">IF(K99="","",ROUND(K99*88%/10,0)*10)</f>
        <v/>
      </c>
      <c r="O99" s="15"/>
      <c r="P99" s="16" t="str">
        <f t="shared" ref="P99:P112" si="54">IF(OR(K99="",O99=""),"",K99-O99)</f>
        <v/>
      </c>
      <c r="Q99" s="17" t="str">
        <f t="shared" ref="Q99:Q112" si="55">IF(OR(K99="",O99="",K99=0),"",P99/K99)</f>
        <v/>
      </c>
      <c r="R99" s="14" t="s">
        <v>36</v>
      </c>
      <c r="S99" s="14"/>
    </row>
    <row r="100" spans="1:19" ht="16" x14ac:dyDescent="0.2">
      <c r="A100" s="13" t="s">
        <v>175</v>
      </c>
      <c r="B100" s="14" t="s">
        <v>164</v>
      </c>
      <c r="C100" s="14" t="s">
        <v>698</v>
      </c>
      <c r="D100" s="14"/>
      <c r="E100" s="14" t="s">
        <v>121</v>
      </c>
      <c r="F100" s="14" t="s">
        <v>50</v>
      </c>
      <c r="G100" s="15"/>
      <c r="H100" s="15"/>
      <c r="I100" s="15"/>
      <c r="J100" s="16" t="str">
        <f t="shared" ref="J100" si="56">IF(COUNT(G100:I100)=0,"",ROUND(AVERAGE(G100:I100),0))</f>
        <v/>
      </c>
      <c r="K100" s="16" t="str">
        <f t="shared" si="45"/>
        <v/>
      </c>
      <c r="L100" s="16" t="str">
        <f t="shared" si="51"/>
        <v/>
      </c>
      <c r="M100" s="16" t="str">
        <f t="shared" si="52"/>
        <v/>
      </c>
      <c r="N100" s="16" t="str">
        <f t="shared" si="53"/>
        <v/>
      </c>
      <c r="O100" s="15"/>
      <c r="P100" s="16" t="str">
        <f t="shared" si="54"/>
        <v/>
      </c>
      <c r="Q100" s="17" t="str">
        <f t="shared" si="55"/>
        <v/>
      </c>
      <c r="R100" s="14" t="s">
        <v>36</v>
      </c>
      <c r="S100" s="14"/>
    </row>
    <row r="101" spans="1:19" ht="16" x14ac:dyDescent="0.2">
      <c r="A101" s="13" t="s">
        <v>176</v>
      </c>
      <c r="B101" s="14" t="s">
        <v>164</v>
      </c>
      <c r="C101" s="14" t="s">
        <v>700</v>
      </c>
      <c r="D101" s="14"/>
      <c r="E101" s="14" t="s">
        <v>119</v>
      </c>
      <c r="F101" s="14" t="s">
        <v>50</v>
      </c>
      <c r="G101" s="15"/>
      <c r="H101" s="15"/>
      <c r="I101" s="15"/>
      <c r="J101" s="16" t="str">
        <f>IF(COUNT(G101:I101)=0,"",ROUND(AVERAGE(G101:I101),0))</f>
        <v/>
      </c>
      <c r="K101" s="16" t="str">
        <f>IF(J101="","",ROUND(J101/10,0)*10)</f>
        <v/>
      </c>
      <c r="L101" s="16" t="str">
        <f t="shared" si="51"/>
        <v/>
      </c>
      <c r="M101" s="16" t="str">
        <f t="shared" si="52"/>
        <v/>
      </c>
      <c r="N101" s="16" t="str">
        <f t="shared" si="53"/>
        <v/>
      </c>
      <c r="O101" s="15"/>
      <c r="P101" s="16" t="str">
        <f t="shared" si="54"/>
        <v/>
      </c>
      <c r="Q101" s="17" t="str">
        <f t="shared" si="55"/>
        <v/>
      </c>
      <c r="R101" s="14" t="s">
        <v>36</v>
      </c>
      <c r="S101" s="14"/>
    </row>
    <row r="102" spans="1:19" ht="16" x14ac:dyDescent="0.2">
      <c r="A102" s="13" t="s">
        <v>177</v>
      </c>
      <c r="B102" s="14" t="s">
        <v>178</v>
      </c>
      <c r="C102" s="14" t="s">
        <v>701</v>
      </c>
      <c r="D102" s="14"/>
      <c r="E102" s="14" t="s">
        <v>76</v>
      </c>
      <c r="F102" s="14" t="s">
        <v>50</v>
      </c>
      <c r="G102" s="15"/>
      <c r="H102" s="15"/>
      <c r="I102" s="15"/>
      <c r="J102" s="16" t="str">
        <f t="shared" ref="J102:J112" si="57">IF(COUNT(G102:I102)=0,"",ROUND(AVERAGE(G102:I102),0))</f>
        <v/>
      </c>
      <c r="K102" s="16" t="str">
        <f t="shared" ref="K102:K112" si="58">IF(J102="","",ROUND(J102/10,0)*10)</f>
        <v/>
      </c>
      <c r="L102" s="16" t="str">
        <f t="shared" si="51"/>
        <v/>
      </c>
      <c r="M102" s="16" t="str">
        <f t="shared" si="52"/>
        <v/>
      </c>
      <c r="N102" s="16" t="str">
        <f t="shared" si="53"/>
        <v/>
      </c>
      <c r="O102" s="15"/>
      <c r="P102" s="16" t="str">
        <f t="shared" si="54"/>
        <v/>
      </c>
      <c r="Q102" s="17" t="str">
        <f t="shared" si="55"/>
        <v/>
      </c>
      <c r="R102" s="14" t="s">
        <v>36</v>
      </c>
      <c r="S102" s="14"/>
    </row>
    <row r="103" spans="1:19" ht="16" x14ac:dyDescent="0.2">
      <c r="A103" s="13" t="s">
        <v>179</v>
      </c>
      <c r="B103" s="14" t="s">
        <v>178</v>
      </c>
      <c r="C103" s="14" t="s">
        <v>702</v>
      </c>
      <c r="D103" s="14"/>
      <c r="E103" s="14" t="s">
        <v>76</v>
      </c>
      <c r="F103" s="14" t="s">
        <v>50</v>
      </c>
      <c r="G103" s="15"/>
      <c r="H103" s="15"/>
      <c r="I103" s="15"/>
      <c r="J103" s="16" t="str">
        <f t="shared" si="57"/>
        <v/>
      </c>
      <c r="K103" s="16" t="str">
        <f t="shared" si="58"/>
        <v/>
      </c>
      <c r="L103" s="16" t="str">
        <f t="shared" si="51"/>
        <v/>
      </c>
      <c r="M103" s="16" t="str">
        <f t="shared" si="52"/>
        <v/>
      </c>
      <c r="N103" s="16" t="str">
        <f t="shared" si="53"/>
        <v/>
      </c>
      <c r="O103" s="15"/>
      <c r="P103" s="16" t="str">
        <f t="shared" si="54"/>
        <v/>
      </c>
      <c r="Q103" s="17" t="str">
        <f t="shared" si="55"/>
        <v/>
      </c>
      <c r="R103" s="14" t="s">
        <v>36</v>
      </c>
      <c r="S103" s="14"/>
    </row>
    <row r="104" spans="1:19" ht="16" x14ac:dyDescent="0.2">
      <c r="A104" s="13" t="s">
        <v>180</v>
      </c>
      <c r="B104" s="14" t="s">
        <v>178</v>
      </c>
      <c r="C104" s="14" t="s">
        <v>156</v>
      </c>
      <c r="D104" s="14"/>
      <c r="E104" s="14" t="s">
        <v>76</v>
      </c>
      <c r="F104" s="14" t="s">
        <v>50</v>
      </c>
      <c r="G104" s="15"/>
      <c r="H104" s="15"/>
      <c r="I104" s="15"/>
      <c r="J104" s="16" t="str">
        <f t="shared" si="57"/>
        <v/>
      </c>
      <c r="K104" s="16" t="str">
        <f t="shared" si="58"/>
        <v/>
      </c>
      <c r="L104" s="16" t="str">
        <f t="shared" si="51"/>
        <v/>
      </c>
      <c r="M104" s="16" t="str">
        <f t="shared" si="52"/>
        <v/>
      </c>
      <c r="N104" s="16" t="str">
        <f t="shared" si="53"/>
        <v/>
      </c>
      <c r="O104" s="15"/>
      <c r="P104" s="16" t="str">
        <f t="shared" si="54"/>
        <v/>
      </c>
      <c r="Q104" s="17" t="str">
        <f t="shared" si="55"/>
        <v/>
      </c>
      <c r="R104" s="14" t="s">
        <v>36</v>
      </c>
      <c r="S104" s="14"/>
    </row>
    <row r="105" spans="1:19" ht="16" x14ac:dyDescent="0.2">
      <c r="A105" s="13" t="s">
        <v>181</v>
      </c>
      <c r="B105" s="14" t="s">
        <v>178</v>
      </c>
      <c r="C105" s="14" t="s">
        <v>58</v>
      </c>
      <c r="D105" s="14"/>
      <c r="E105" s="14" t="s">
        <v>76</v>
      </c>
      <c r="F105" s="14" t="s">
        <v>50</v>
      </c>
      <c r="G105" s="15"/>
      <c r="H105" s="15"/>
      <c r="I105" s="15"/>
      <c r="J105" s="16" t="str">
        <f t="shared" si="57"/>
        <v/>
      </c>
      <c r="K105" s="16" t="str">
        <f t="shared" si="58"/>
        <v/>
      </c>
      <c r="L105" s="16" t="str">
        <f t="shared" si="51"/>
        <v/>
      </c>
      <c r="M105" s="16" t="str">
        <f t="shared" si="52"/>
        <v/>
      </c>
      <c r="N105" s="16" t="str">
        <f t="shared" si="53"/>
        <v/>
      </c>
      <c r="O105" s="15"/>
      <c r="P105" s="16" t="str">
        <f t="shared" si="54"/>
        <v/>
      </c>
      <c r="Q105" s="17" t="str">
        <f t="shared" si="55"/>
        <v/>
      </c>
      <c r="R105" s="14" t="s">
        <v>36</v>
      </c>
      <c r="S105" s="14"/>
    </row>
    <row r="106" spans="1:19" ht="16" x14ac:dyDescent="0.2">
      <c r="A106" s="13" t="s">
        <v>182</v>
      </c>
      <c r="B106" s="14" t="s">
        <v>178</v>
      </c>
      <c r="C106" s="14" t="s">
        <v>56</v>
      </c>
      <c r="D106" s="14"/>
      <c r="E106" s="14" t="s">
        <v>183</v>
      </c>
      <c r="F106" s="14" t="s">
        <v>50</v>
      </c>
      <c r="G106" s="15"/>
      <c r="H106" s="15"/>
      <c r="I106" s="15"/>
      <c r="J106" s="16" t="str">
        <f t="shared" si="57"/>
        <v/>
      </c>
      <c r="K106" s="16" t="str">
        <f t="shared" si="58"/>
        <v/>
      </c>
      <c r="L106" s="16" t="str">
        <f t="shared" si="51"/>
        <v/>
      </c>
      <c r="M106" s="16" t="str">
        <f t="shared" si="52"/>
        <v/>
      </c>
      <c r="N106" s="16" t="str">
        <f t="shared" si="53"/>
        <v/>
      </c>
      <c r="O106" s="15"/>
      <c r="P106" s="16" t="str">
        <f t="shared" si="54"/>
        <v/>
      </c>
      <c r="Q106" s="17" t="str">
        <f t="shared" si="55"/>
        <v/>
      </c>
      <c r="R106" s="14" t="s">
        <v>36</v>
      </c>
      <c r="S106" s="14"/>
    </row>
    <row r="107" spans="1:19" ht="16" x14ac:dyDescent="0.2">
      <c r="A107" s="13" t="s">
        <v>184</v>
      </c>
      <c r="B107" s="14" t="s">
        <v>178</v>
      </c>
      <c r="C107" s="14" t="s">
        <v>159</v>
      </c>
      <c r="D107" s="14"/>
      <c r="E107" s="14" t="s">
        <v>76</v>
      </c>
      <c r="F107" s="14" t="s">
        <v>50</v>
      </c>
      <c r="G107" s="15"/>
      <c r="H107" s="15"/>
      <c r="I107" s="15"/>
      <c r="J107" s="16" t="str">
        <f t="shared" si="57"/>
        <v/>
      </c>
      <c r="K107" s="16" t="str">
        <f t="shared" si="58"/>
        <v/>
      </c>
      <c r="L107" s="16" t="str">
        <f t="shared" si="51"/>
        <v/>
      </c>
      <c r="M107" s="16" t="str">
        <f t="shared" si="52"/>
        <v/>
      </c>
      <c r="N107" s="16" t="str">
        <f t="shared" si="53"/>
        <v/>
      </c>
      <c r="O107" s="15"/>
      <c r="P107" s="16" t="str">
        <f t="shared" si="54"/>
        <v/>
      </c>
      <c r="Q107" s="17" t="str">
        <f t="shared" si="55"/>
        <v/>
      </c>
      <c r="R107" s="14" t="s">
        <v>36</v>
      </c>
      <c r="S107" s="14"/>
    </row>
    <row r="108" spans="1:19" ht="16" x14ac:dyDescent="0.2">
      <c r="A108" s="13" t="s">
        <v>185</v>
      </c>
      <c r="B108" s="14" t="s">
        <v>178</v>
      </c>
      <c r="C108" s="14" t="s">
        <v>154</v>
      </c>
      <c r="D108" s="14"/>
      <c r="E108" s="14" t="s">
        <v>76</v>
      </c>
      <c r="F108" s="14" t="s">
        <v>50</v>
      </c>
      <c r="G108" s="15"/>
      <c r="H108" s="15"/>
      <c r="I108" s="15"/>
      <c r="J108" s="16" t="str">
        <f t="shared" si="57"/>
        <v/>
      </c>
      <c r="K108" s="16" t="str">
        <f t="shared" si="58"/>
        <v/>
      </c>
      <c r="L108" s="16" t="str">
        <f t="shared" si="51"/>
        <v/>
      </c>
      <c r="M108" s="16" t="str">
        <f t="shared" si="52"/>
        <v/>
      </c>
      <c r="N108" s="16" t="str">
        <f t="shared" si="53"/>
        <v/>
      </c>
      <c r="O108" s="15"/>
      <c r="P108" s="16" t="str">
        <f t="shared" si="54"/>
        <v/>
      </c>
      <c r="Q108" s="17" t="str">
        <f t="shared" si="55"/>
        <v/>
      </c>
      <c r="R108" s="14" t="s">
        <v>36</v>
      </c>
      <c r="S108" s="14"/>
    </row>
    <row r="109" spans="1:19" ht="16" x14ac:dyDescent="0.2">
      <c r="A109" s="13" t="s">
        <v>187</v>
      </c>
      <c r="B109" s="14" t="s">
        <v>178</v>
      </c>
      <c r="C109" s="14" t="s">
        <v>703</v>
      </c>
      <c r="D109" s="14"/>
      <c r="E109" s="14" t="s">
        <v>76</v>
      </c>
      <c r="F109" s="14" t="s">
        <v>50</v>
      </c>
      <c r="G109" s="15"/>
      <c r="H109" s="15"/>
      <c r="I109" s="15"/>
      <c r="J109" s="16" t="str">
        <f t="shared" si="57"/>
        <v/>
      </c>
      <c r="K109" s="16" t="str">
        <f t="shared" si="58"/>
        <v/>
      </c>
      <c r="L109" s="16" t="str">
        <f t="shared" si="51"/>
        <v/>
      </c>
      <c r="M109" s="16" t="str">
        <f t="shared" si="52"/>
        <v/>
      </c>
      <c r="N109" s="16" t="str">
        <f t="shared" si="53"/>
        <v/>
      </c>
      <c r="O109" s="15"/>
      <c r="P109" s="16" t="str">
        <f t="shared" si="54"/>
        <v/>
      </c>
      <c r="Q109" s="17" t="str">
        <f t="shared" si="55"/>
        <v/>
      </c>
      <c r="R109" s="14" t="s">
        <v>36</v>
      </c>
      <c r="S109" s="14"/>
    </row>
    <row r="110" spans="1:19" ht="16" x14ac:dyDescent="0.2">
      <c r="A110" s="13" t="s">
        <v>188</v>
      </c>
      <c r="B110" s="14" t="s">
        <v>178</v>
      </c>
      <c r="C110" s="14" t="s">
        <v>704</v>
      </c>
      <c r="D110" s="14"/>
      <c r="E110" s="14" t="s">
        <v>76</v>
      </c>
      <c r="F110" s="14" t="s">
        <v>50</v>
      </c>
      <c r="G110" s="15"/>
      <c r="H110" s="15"/>
      <c r="I110" s="15"/>
      <c r="J110" s="16" t="str">
        <f t="shared" si="57"/>
        <v/>
      </c>
      <c r="K110" s="16" t="str">
        <f t="shared" si="58"/>
        <v/>
      </c>
      <c r="L110" s="16" t="str">
        <f t="shared" si="51"/>
        <v/>
      </c>
      <c r="M110" s="16" t="str">
        <f t="shared" si="52"/>
        <v/>
      </c>
      <c r="N110" s="16" t="str">
        <f t="shared" si="53"/>
        <v/>
      </c>
      <c r="O110" s="15"/>
      <c r="P110" s="16" t="str">
        <f t="shared" si="54"/>
        <v/>
      </c>
      <c r="Q110" s="17" t="str">
        <f t="shared" si="55"/>
        <v/>
      </c>
      <c r="R110" s="14" t="s">
        <v>36</v>
      </c>
      <c r="S110" s="14"/>
    </row>
    <row r="111" spans="1:19" ht="16" x14ac:dyDescent="0.2">
      <c r="A111" s="13" t="s">
        <v>189</v>
      </c>
      <c r="B111" s="14" t="s">
        <v>178</v>
      </c>
      <c r="C111" s="14" t="s">
        <v>705</v>
      </c>
      <c r="D111" s="14"/>
      <c r="E111" s="14" t="s">
        <v>191</v>
      </c>
      <c r="F111" s="14" t="s">
        <v>35</v>
      </c>
      <c r="G111" s="15"/>
      <c r="H111" s="15"/>
      <c r="I111" s="15"/>
      <c r="J111" s="16" t="str">
        <f t="shared" si="57"/>
        <v/>
      </c>
      <c r="K111" s="16" t="str">
        <f t="shared" si="58"/>
        <v/>
      </c>
      <c r="L111" s="16" t="str">
        <f t="shared" si="51"/>
        <v/>
      </c>
      <c r="M111" s="16" t="str">
        <f t="shared" si="52"/>
        <v/>
      </c>
      <c r="N111" s="16" t="str">
        <f t="shared" si="53"/>
        <v/>
      </c>
      <c r="O111" s="15"/>
      <c r="P111" s="16" t="str">
        <f t="shared" si="54"/>
        <v/>
      </c>
      <c r="Q111" s="17" t="str">
        <f t="shared" si="55"/>
        <v/>
      </c>
      <c r="R111" s="14" t="s">
        <v>36</v>
      </c>
      <c r="S111" s="14"/>
    </row>
    <row r="112" spans="1:19" ht="16" x14ac:dyDescent="0.2">
      <c r="A112" s="13" t="s">
        <v>192</v>
      </c>
      <c r="B112" s="14" t="s">
        <v>178</v>
      </c>
      <c r="C112" s="14" t="s">
        <v>706</v>
      </c>
      <c r="D112" s="14"/>
      <c r="E112" s="14" t="s">
        <v>193</v>
      </c>
      <c r="F112" s="14" t="s">
        <v>35</v>
      </c>
      <c r="G112" s="15"/>
      <c r="H112" s="15"/>
      <c r="I112" s="15"/>
      <c r="J112" s="16" t="str">
        <f t="shared" si="57"/>
        <v/>
      </c>
      <c r="K112" s="16" t="str">
        <f t="shared" si="58"/>
        <v/>
      </c>
      <c r="L112" s="16" t="str">
        <f t="shared" si="51"/>
        <v/>
      </c>
      <c r="M112" s="16" t="str">
        <f t="shared" si="52"/>
        <v/>
      </c>
      <c r="N112" s="16" t="str">
        <f t="shared" si="53"/>
        <v/>
      </c>
      <c r="O112" s="15"/>
      <c r="P112" s="16" t="str">
        <f t="shared" si="54"/>
        <v/>
      </c>
      <c r="Q112" s="17" t="str">
        <f t="shared" si="55"/>
        <v/>
      </c>
      <c r="R112" s="14" t="s">
        <v>36</v>
      </c>
      <c r="S112" s="14"/>
    </row>
    <row r="113" spans="1:19" ht="16" x14ac:dyDescent="0.2">
      <c r="A113" s="13" t="s">
        <v>194</v>
      </c>
      <c r="B113" s="14" t="s">
        <v>195</v>
      </c>
      <c r="C113" s="14" t="s">
        <v>707</v>
      </c>
      <c r="D113" s="14"/>
      <c r="E113" s="14" t="s">
        <v>196</v>
      </c>
      <c r="F113" s="14" t="s">
        <v>35</v>
      </c>
      <c r="G113" s="15"/>
      <c r="H113" s="15"/>
      <c r="I113" s="15"/>
      <c r="J113" s="16" t="str">
        <f>IF(COUNT(G113:I113)=0,"",ROUND(AVERAGE(G113:I113),0))</f>
        <v/>
      </c>
      <c r="K113" s="16" t="str">
        <f>IF(J113="","",ROUND(J113/10,0)*10)</f>
        <v/>
      </c>
      <c r="L113" s="16" t="str">
        <f>IF(K113="","",ROUND(K113*95%/10,0)*10)</f>
        <v/>
      </c>
      <c r="M113" s="16" t="str">
        <f>IF(K113="","",ROUND(K113*92%/10,0)*10)</f>
        <v/>
      </c>
      <c r="N113" s="16" t="str">
        <f>IF(K113="","",ROUND(K113*88%/10,0)*10)</f>
        <v/>
      </c>
      <c r="O113" s="15"/>
      <c r="P113" s="16" t="str">
        <f>IF(OR(K113="",O113=""),"",K113-O113)</f>
        <v/>
      </c>
      <c r="Q113" s="17" t="str">
        <f>IF(OR(K113="",O113="",K113=0),"",P113/K113)</f>
        <v/>
      </c>
      <c r="R113" s="14" t="s">
        <v>36</v>
      </c>
      <c r="S113" s="14"/>
    </row>
    <row r="114" spans="1:19" ht="16" x14ac:dyDescent="0.2">
      <c r="A114" s="13" t="s">
        <v>197</v>
      </c>
      <c r="B114" s="14" t="s">
        <v>195</v>
      </c>
      <c r="C114" s="14" t="s">
        <v>708</v>
      </c>
      <c r="D114" s="14"/>
      <c r="E114" s="14" t="s">
        <v>99</v>
      </c>
      <c r="F114" s="14" t="s">
        <v>43</v>
      </c>
      <c r="G114" s="15"/>
      <c r="H114" s="15"/>
      <c r="I114" s="15"/>
      <c r="J114" s="16" t="str">
        <f t="shared" ref="J114:J126" si="59">IF(COUNT(G114:I114)=0,"",ROUND(AVERAGE(G114:I114),0))</f>
        <v/>
      </c>
      <c r="K114" s="16" t="str">
        <f t="shared" ref="K114:K126" si="60">IF(J114="","",ROUND(J114/10,0)*10)</f>
        <v/>
      </c>
      <c r="L114" s="16" t="str">
        <f t="shared" ref="L114:L125" si="61">IF(K114="","",ROUND(K114*95%/10,0)*10)</f>
        <v/>
      </c>
      <c r="M114" s="16" t="str">
        <f t="shared" ref="M114:M125" si="62">IF(K114="","",ROUND(K114*92%/10,0)*10)</f>
        <v/>
      </c>
      <c r="N114" s="16" t="str">
        <f t="shared" ref="N114:N125" si="63">IF(K114="","",ROUND(K114*88%/10,0)*10)</f>
        <v/>
      </c>
      <c r="O114" s="15"/>
      <c r="P114" s="16" t="str">
        <f t="shared" ref="P114:P125" si="64">IF(OR(K114="",O114=""),"",K114-O114)</f>
        <v/>
      </c>
      <c r="Q114" s="17" t="str">
        <f t="shared" ref="Q114:Q125" si="65">IF(OR(K114="",O114="",K114=0),"",P114/K114)</f>
        <v/>
      </c>
      <c r="R114" s="14" t="s">
        <v>36</v>
      </c>
      <c r="S114" s="14"/>
    </row>
    <row r="115" spans="1:19" ht="16" x14ac:dyDescent="0.2">
      <c r="A115" s="13" t="s">
        <v>198</v>
      </c>
      <c r="B115" s="14" t="s">
        <v>195</v>
      </c>
      <c r="C115" s="14" t="s">
        <v>709</v>
      </c>
      <c r="D115" s="14"/>
      <c r="E115" s="14" t="s">
        <v>50</v>
      </c>
      <c r="F115" s="14" t="s">
        <v>50</v>
      </c>
      <c r="G115" s="15"/>
      <c r="H115" s="15"/>
      <c r="I115" s="15"/>
      <c r="J115" s="16" t="str">
        <f t="shared" si="59"/>
        <v/>
      </c>
      <c r="K115" s="16" t="str">
        <f t="shared" si="60"/>
        <v/>
      </c>
      <c r="L115" s="16" t="str">
        <f t="shared" si="61"/>
        <v/>
      </c>
      <c r="M115" s="16" t="str">
        <f t="shared" si="62"/>
        <v/>
      </c>
      <c r="N115" s="16" t="str">
        <f t="shared" si="63"/>
        <v/>
      </c>
      <c r="O115" s="15"/>
      <c r="P115" s="16" t="str">
        <f t="shared" si="64"/>
        <v/>
      </c>
      <c r="Q115" s="17" t="str">
        <f t="shared" si="65"/>
        <v/>
      </c>
      <c r="R115" s="14" t="s">
        <v>36</v>
      </c>
      <c r="S115" s="14"/>
    </row>
    <row r="116" spans="1:19" ht="16" x14ac:dyDescent="0.2">
      <c r="A116" s="13" t="s">
        <v>199</v>
      </c>
      <c r="B116" s="14" t="s">
        <v>195</v>
      </c>
      <c r="C116" s="14" t="s">
        <v>710</v>
      </c>
      <c r="D116" s="14"/>
      <c r="E116" s="14" t="s">
        <v>200</v>
      </c>
      <c r="F116" s="14" t="s">
        <v>201</v>
      </c>
      <c r="G116" s="15"/>
      <c r="H116" s="15"/>
      <c r="I116" s="15"/>
      <c r="J116" s="16" t="str">
        <f t="shared" si="59"/>
        <v/>
      </c>
      <c r="K116" s="16" t="str">
        <f t="shared" si="60"/>
        <v/>
      </c>
      <c r="L116" s="16" t="str">
        <f t="shared" si="61"/>
        <v/>
      </c>
      <c r="M116" s="16" t="str">
        <f t="shared" si="62"/>
        <v/>
      </c>
      <c r="N116" s="16" t="str">
        <f t="shared" si="63"/>
        <v/>
      </c>
      <c r="O116" s="15"/>
      <c r="P116" s="16" t="str">
        <f t="shared" si="64"/>
        <v/>
      </c>
      <c r="Q116" s="17" t="str">
        <f t="shared" si="65"/>
        <v/>
      </c>
      <c r="R116" s="14" t="s">
        <v>36</v>
      </c>
      <c r="S116" s="14"/>
    </row>
    <row r="117" spans="1:19" ht="16" x14ac:dyDescent="0.2">
      <c r="A117" s="13" t="s">
        <v>202</v>
      </c>
      <c r="B117" s="14" t="s">
        <v>195</v>
      </c>
      <c r="C117" s="14" t="s">
        <v>711</v>
      </c>
      <c r="D117" s="14"/>
      <c r="E117" s="14" t="s">
        <v>203</v>
      </c>
      <c r="F117" s="14" t="s">
        <v>201</v>
      </c>
      <c r="G117" s="15"/>
      <c r="H117" s="15"/>
      <c r="I117" s="15"/>
      <c r="J117" s="16" t="str">
        <f t="shared" si="59"/>
        <v/>
      </c>
      <c r="K117" s="16" t="str">
        <f t="shared" si="60"/>
        <v/>
      </c>
      <c r="L117" s="16" t="str">
        <f t="shared" si="61"/>
        <v/>
      </c>
      <c r="M117" s="16" t="str">
        <f t="shared" si="62"/>
        <v/>
      </c>
      <c r="N117" s="16" t="str">
        <f t="shared" si="63"/>
        <v/>
      </c>
      <c r="O117" s="15"/>
      <c r="P117" s="16" t="str">
        <f t="shared" si="64"/>
        <v/>
      </c>
      <c r="Q117" s="17" t="str">
        <f t="shared" si="65"/>
        <v/>
      </c>
      <c r="R117" s="14" t="s">
        <v>36</v>
      </c>
      <c r="S117" s="14"/>
    </row>
    <row r="118" spans="1:19" ht="16" x14ac:dyDescent="0.2">
      <c r="A118" s="13" t="s">
        <v>204</v>
      </c>
      <c r="B118" s="14" t="s">
        <v>195</v>
      </c>
      <c r="C118" s="14" t="s">
        <v>712</v>
      </c>
      <c r="D118" s="14"/>
      <c r="E118" s="14" t="s">
        <v>205</v>
      </c>
      <c r="F118" s="14" t="s">
        <v>82</v>
      </c>
      <c r="G118" s="15"/>
      <c r="H118" s="15"/>
      <c r="I118" s="15"/>
      <c r="J118" s="16" t="str">
        <f t="shared" si="59"/>
        <v/>
      </c>
      <c r="K118" s="16" t="str">
        <f t="shared" si="60"/>
        <v/>
      </c>
      <c r="L118" s="16" t="str">
        <f t="shared" si="61"/>
        <v/>
      </c>
      <c r="M118" s="16" t="str">
        <f t="shared" si="62"/>
        <v/>
      </c>
      <c r="N118" s="16" t="str">
        <f t="shared" si="63"/>
        <v/>
      </c>
      <c r="O118" s="15"/>
      <c r="P118" s="16" t="str">
        <f t="shared" si="64"/>
        <v/>
      </c>
      <c r="Q118" s="17" t="str">
        <f t="shared" si="65"/>
        <v/>
      </c>
      <c r="R118" s="14" t="s">
        <v>36</v>
      </c>
      <c r="S118" s="14"/>
    </row>
    <row r="119" spans="1:19" ht="16" x14ac:dyDescent="0.2">
      <c r="A119" s="13" t="s">
        <v>206</v>
      </c>
      <c r="B119" s="14" t="s">
        <v>207</v>
      </c>
      <c r="C119" s="14" t="s">
        <v>221</v>
      </c>
      <c r="D119" s="14" t="s">
        <v>209</v>
      </c>
      <c r="E119" s="14" t="s">
        <v>210</v>
      </c>
      <c r="F119" s="14" t="s">
        <v>50</v>
      </c>
      <c r="G119" s="15"/>
      <c r="H119" s="15"/>
      <c r="I119" s="15"/>
      <c r="J119" s="16" t="str">
        <f t="shared" si="59"/>
        <v/>
      </c>
      <c r="K119" s="16" t="str">
        <f t="shared" si="60"/>
        <v/>
      </c>
      <c r="L119" s="16" t="str">
        <f t="shared" si="61"/>
        <v/>
      </c>
      <c r="M119" s="16" t="str">
        <f t="shared" si="62"/>
        <v/>
      </c>
      <c r="N119" s="16" t="str">
        <f t="shared" si="63"/>
        <v/>
      </c>
      <c r="O119" s="15"/>
      <c r="P119" s="16" t="str">
        <f t="shared" si="64"/>
        <v/>
      </c>
      <c r="Q119" s="17" t="str">
        <f t="shared" si="65"/>
        <v/>
      </c>
      <c r="R119" s="14" t="s">
        <v>36</v>
      </c>
      <c r="S119" s="14"/>
    </row>
    <row r="120" spans="1:19" ht="16" x14ac:dyDescent="0.2">
      <c r="A120" s="13" t="s">
        <v>211</v>
      </c>
      <c r="B120" s="14" t="s">
        <v>207</v>
      </c>
      <c r="C120" s="14" t="s">
        <v>208</v>
      </c>
      <c r="D120" s="14" t="s">
        <v>209</v>
      </c>
      <c r="E120" s="14" t="s">
        <v>212</v>
      </c>
      <c r="F120" s="14" t="s">
        <v>50</v>
      </c>
      <c r="G120" s="15"/>
      <c r="H120" s="15"/>
      <c r="I120" s="15"/>
      <c r="J120" s="16" t="str">
        <f t="shared" si="59"/>
        <v/>
      </c>
      <c r="K120" s="16" t="str">
        <f t="shared" si="60"/>
        <v/>
      </c>
      <c r="L120" s="16" t="str">
        <f t="shared" si="61"/>
        <v/>
      </c>
      <c r="M120" s="16" t="str">
        <f t="shared" si="62"/>
        <v/>
      </c>
      <c r="N120" s="16" t="str">
        <f t="shared" si="63"/>
        <v/>
      </c>
      <c r="O120" s="15"/>
      <c r="P120" s="16" t="str">
        <f t="shared" si="64"/>
        <v/>
      </c>
      <c r="Q120" s="17" t="str">
        <f t="shared" si="65"/>
        <v/>
      </c>
      <c r="R120" s="14" t="s">
        <v>36</v>
      </c>
      <c r="S120" s="14"/>
    </row>
    <row r="121" spans="1:19" ht="16" x14ac:dyDescent="0.2">
      <c r="A121" s="13" t="s">
        <v>213</v>
      </c>
      <c r="B121" s="14" t="s">
        <v>207</v>
      </c>
      <c r="C121" s="14" t="s">
        <v>214</v>
      </c>
      <c r="D121" s="14"/>
      <c r="E121" s="14" t="s">
        <v>49</v>
      </c>
      <c r="F121" s="14" t="s">
        <v>50</v>
      </c>
      <c r="G121" s="15"/>
      <c r="H121" s="15"/>
      <c r="I121" s="15"/>
      <c r="J121" s="16" t="str">
        <f t="shared" si="59"/>
        <v/>
      </c>
      <c r="K121" s="16" t="str">
        <f t="shared" si="60"/>
        <v/>
      </c>
      <c r="L121" s="16" t="str">
        <f t="shared" si="61"/>
        <v/>
      </c>
      <c r="M121" s="16" t="str">
        <f t="shared" si="62"/>
        <v/>
      </c>
      <c r="N121" s="16" t="str">
        <f t="shared" si="63"/>
        <v/>
      </c>
      <c r="O121" s="15"/>
      <c r="P121" s="16" t="str">
        <f t="shared" si="64"/>
        <v/>
      </c>
      <c r="Q121" s="17" t="str">
        <f t="shared" si="65"/>
        <v/>
      </c>
      <c r="R121" s="14" t="s">
        <v>36</v>
      </c>
      <c r="S121" s="14"/>
    </row>
    <row r="122" spans="1:19" ht="16" x14ac:dyDescent="0.2">
      <c r="A122" s="13" t="s">
        <v>215</v>
      </c>
      <c r="B122" s="14" t="s">
        <v>207</v>
      </c>
      <c r="C122" s="14" t="s">
        <v>216</v>
      </c>
      <c r="D122" s="14"/>
      <c r="E122" s="14" t="s">
        <v>49</v>
      </c>
      <c r="F122" s="14" t="s">
        <v>50</v>
      </c>
      <c r="G122" s="15"/>
      <c r="H122" s="15"/>
      <c r="I122" s="15"/>
      <c r="J122" s="16" t="str">
        <f t="shared" si="59"/>
        <v/>
      </c>
      <c r="K122" s="16" t="str">
        <f t="shared" si="60"/>
        <v/>
      </c>
      <c r="L122" s="16" t="str">
        <f t="shared" si="61"/>
        <v/>
      </c>
      <c r="M122" s="16" t="str">
        <f t="shared" si="62"/>
        <v/>
      </c>
      <c r="N122" s="16" t="str">
        <f t="shared" si="63"/>
        <v/>
      </c>
      <c r="O122" s="15"/>
      <c r="P122" s="16" t="str">
        <f t="shared" si="64"/>
        <v/>
      </c>
      <c r="Q122" s="17" t="str">
        <f t="shared" si="65"/>
        <v/>
      </c>
      <c r="R122" s="14" t="s">
        <v>36</v>
      </c>
      <c r="S122" s="14"/>
    </row>
    <row r="123" spans="1:19" ht="16" x14ac:dyDescent="0.2">
      <c r="A123" s="13" t="s">
        <v>217</v>
      </c>
      <c r="B123" s="14" t="s">
        <v>207</v>
      </c>
      <c r="C123" s="14" t="s">
        <v>218</v>
      </c>
      <c r="D123" s="14"/>
      <c r="E123" s="14" t="s">
        <v>219</v>
      </c>
      <c r="F123" s="14" t="s">
        <v>50</v>
      </c>
      <c r="G123" s="15"/>
      <c r="H123" s="15"/>
      <c r="I123" s="15"/>
      <c r="J123" s="16" t="str">
        <f t="shared" si="59"/>
        <v/>
      </c>
      <c r="K123" s="16" t="str">
        <f t="shared" si="60"/>
        <v/>
      </c>
      <c r="L123" s="16" t="str">
        <f t="shared" si="61"/>
        <v/>
      </c>
      <c r="M123" s="16" t="str">
        <f t="shared" si="62"/>
        <v/>
      </c>
      <c r="N123" s="16" t="str">
        <f t="shared" si="63"/>
        <v/>
      </c>
      <c r="O123" s="15"/>
      <c r="P123" s="16" t="str">
        <f t="shared" si="64"/>
        <v/>
      </c>
      <c r="Q123" s="17" t="str">
        <f t="shared" si="65"/>
        <v/>
      </c>
      <c r="R123" s="14" t="s">
        <v>36</v>
      </c>
      <c r="S123" s="14"/>
    </row>
    <row r="124" spans="1:19" ht="16" x14ac:dyDescent="0.2">
      <c r="A124" s="13" t="s">
        <v>220</v>
      </c>
      <c r="B124" s="14" t="s">
        <v>207</v>
      </c>
      <c r="C124" s="14" t="s">
        <v>162</v>
      </c>
      <c r="D124" s="14"/>
      <c r="E124" s="14" t="s">
        <v>53</v>
      </c>
      <c r="F124" s="14" t="s">
        <v>50</v>
      </c>
      <c r="G124" s="15"/>
      <c r="H124" s="15"/>
      <c r="I124" s="15"/>
      <c r="J124" s="16" t="str">
        <f t="shared" si="59"/>
        <v/>
      </c>
      <c r="K124" s="16" t="str">
        <f t="shared" si="60"/>
        <v/>
      </c>
      <c r="L124" s="16" t="str">
        <f t="shared" si="61"/>
        <v/>
      </c>
      <c r="M124" s="16" t="str">
        <f t="shared" si="62"/>
        <v/>
      </c>
      <c r="N124" s="16" t="str">
        <f t="shared" si="63"/>
        <v/>
      </c>
      <c r="O124" s="15"/>
      <c r="P124" s="16" t="str">
        <f t="shared" si="64"/>
        <v/>
      </c>
      <c r="Q124" s="17" t="str">
        <f t="shared" si="65"/>
        <v/>
      </c>
      <c r="R124" s="14" t="s">
        <v>36</v>
      </c>
      <c r="S124" s="14"/>
    </row>
    <row r="125" spans="1:19" ht="16" x14ac:dyDescent="0.2">
      <c r="A125" s="13" t="s">
        <v>222</v>
      </c>
      <c r="B125" s="14" t="s">
        <v>207</v>
      </c>
      <c r="C125" s="14" t="s">
        <v>223</v>
      </c>
      <c r="D125" s="14"/>
      <c r="E125" s="14" t="s">
        <v>224</v>
      </c>
      <c r="F125" s="14" t="s">
        <v>35</v>
      </c>
      <c r="G125" s="15"/>
      <c r="H125" s="15"/>
      <c r="I125" s="15"/>
      <c r="J125" s="16" t="str">
        <f t="shared" si="59"/>
        <v/>
      </c>
      <c r="K125" s="16" t="str">
        <f t="shared" si="60"/>
        <v/>
      </c>
      <c r="L125" s="16" t="str">
        <f t="shared" si="61"/>
        <v/>
      </c>
      <c r="M125" s="16" t="str">
        <f t="shared" si="62"/>
        <v/>
      </c>
      <c r="N125" s="16" t="str">
        <f t="shared" si="63"/>
        <v/>
      </c>
      <c r="O125" s="15"/>
      <c r="P125" s="16" t="str">
        <f t="shared" si="64"/>
        <v/>
      </c>
      <c r="Q125" s="17" t="str">
        <f t="shared" si="65"/>
        <v/>
      </c>
      <c r="R125" s="14" t="s">
        <v>36</v>
      </c>
      <c r="S125" s="14"/>
    </row>
    <row r="126" spans="1:19" ht="16" x14ac:dyDescent="0.2">
      <c r="A126" s="13" t="s">
        <v>225</v>
      </c>
      <c r="B126" s="14" t="s">
        <v>207</v>
      </c>
      <c r="C126" s="14" t="s">
        <v>226</v>
      </c>
      <c r="D126" s="14"/>
      <c r="E126" s="14" t="s">
        <v>224</v>
      </c>
      <c r="F126" s="14" t="s">
        <v>35</v>
      </c>
      <c r="G126" s="15"/>
      <c r="H126" s="15"/>
      <c r="I126" s="15"/>
      <c r="J126" s="16" t="str">
        <f t="shared" si="59"/>
        <v/>
      </c>
      <c r="K126" s="16" t="str">
        <f t="shared" si="60"/>
        <v/>
      </c>
      <c r="L126" s="16" t="str">
        <f>IF(K126="","",ROUND(K126*95%/10,0)*10)</f>
        <v/>
      </c>
      <c r="M126" s="16" t="str">
        <f>IF(K126="","",ROUND(K126*92%/10,0)*10)</f>
        <v/>
      </c>
      <c r="N126" s="16" t="str">
        <f>IF(K126="","",ROUND(K126*88%/10,0)*10)</f>
        <v/>
      </c>
      <c r="O126" s="15"/>
      <c r="P126" s="16" t="str">
        <f>IF(OR(K126="",O126=""),"",K126-O126)</f>
        <v/>
      </c>
      <c r="Q126" s="17" t="str">
        <f>IF(OR(K126="",O126="",K126=0),"",P126/K126)</f>
        <v/>
      </c>
      <c r="R126" s="14" t="s">
        <v>36</v>
      </c>
      <c r="S126" s="14"/>
    </row>
    <row r="127" spans="1:19" ht="16" x14ac:dyDescent="0.2">
      <c r="A127" s="13" t="s">
        <v>227</v>
      </c>
      <c r="B127" s="14" t="s">
        <v>207</v>
      </c>
      <c r="C127" s="14" t="s">
        <v>713</v>
      </c>
      <c r="D127" s="14"/>
      <c r="E127" s="14"/>
      <c r="F127" s="14"/>
      <c r="G127" s="15"/>
      <c r="H127" s="15"/>
      <c r="I127" s="15"/>
      <c r="J127" s="16" t="str">
        <f>IF(COUNT(G127:I127)=0,"",ROUND(AVERAGE(G127:I127),0))</f>
        <v/>
      </c>
      <c r="K127" s="16" t="str">
        <f>IF(J127="","",ROUND(J127/10,0)*10)</f>
        <v/>
      </c>
      <c r="L127" s="16" t="str">
        <f t="shared" ref="L127:L142" si="66">IF(K127="","",ROUND(K127*95%/10,0)*10)</f>
        <v/>
      </c>
      <c r="M127" s="16" t="str">
        <f t="shared" ref="M127:M142" si="67">IF(K127="","",ROUND(K127*92%/10,0)*10)</f>
        <v/>
      </c>
      <c r="N127" s="16" t="str">
        <f t="shared" ref="N127:N142" si="68">IF(K127="","",ROUND(K127*88%/10,0)*10)</f>
        <v/>
      </c>
      <c r="O127" s="15"/>
      <c r="P127" s="16" t="str">
        <f t="shared" ref="P127:P142" si="69">IF(OR(K127="",O127=""),"",K127-O127)</f>
        <v/>
      </c>
      <c r="Q127" s="17" t="str">
        <f t="shared" ref="Q127:Q142" si="70">IF(OR(K127="",O127="",K127=0),"",P127/K127)</f>
        <v/>
      </c>
      <c r="R127" s="14" t="s">
        <v>36</v>
      </c>
      <c r="S127" s="14"/>
    </row>
    <row r="128" spans="1:19" ht="16" x14ac:dyDescent="0.2">
      <c r="A128" s="13" t="s">
        <v>228</v>
      </c>
      <c r="B128" s="14"/>
      <c r="C128" s="14" t="s">
        <v>714</v>
      </c>
      <c r="D128" s="14"/>
      <c r="E128" s="14"/>
      <c r="F128" s="14"/>
      <c r="G128" s="15"/>
      <c r="H128" s="15"/>
      <c r="I128" s="15"/>
      <c r="J128" s="16" t="str">
        <f t="shared" ref="J128:J135" si="71">IF(COUNT(G128:I128)=0,"",ROUND(AVERAGE(G128:I128),0))</f>
        <v/>
      </c>
      <c r="K128" s="16" t="str">
        <f t="shared" ref="K128:K135" si="72">IF(J128="","",ROUND(J128/10,0)*10)</f>
        <v/>
      </c>
      <c r="L128" s="16" t="str">
        <f t="shared" si="66"/>
        <v/>
      </c>
      <c r="M128" s="16" t="str">
        <f t="shared" si="67"/>
        <v/>
      </c>
      <c r="N128" s="16" t="str">
        <f t="shared" si="68"/>
        <v/>
      </c>
      <c r="O128" s="15"/>
      <c r="P128" s="16" t="str">
        <f t="shared" si="69"/>
        <v/>
      </c>
      <c r="Q128" s="17" t="str">
        <f t="shared" si="70"/>
        <v/>
      </c>
      <c r="R128" s="14" t="s">
        <v>36</v>
      </c>
      <c r="S128" s="14"/>
    </row>
    <row r="129" spans="1:19" ht="16" x14ac:dyDescent="0.2">
      <c r="A129" s="13" t="s">
        <v>229</v>
      </c>
      <c r="B129" s="14"/>
      <c r="C129" s="14" t="s">
        <v>715</v>
      </c>
      <c r="D129" s="14"/>
      <c r="E129" s="14"/>
      <c r="F129" s="14"/>
      <c r="G129" s="15"/>
      <c r="H129" s="15"/>
      <c r="I129" s="15"/>
      <c r="J129" s="16" t="str">
        <f t="shared" si="71"/>
        <v/>
      </c>
      <c r="K129" s="16" t="str">
        <f t="shared" si="72"/>
        <v/>
      </c>
      <c r="L129" s="16" t="str">
        <f t="shared" si="66"/>
        <v/>
      </c>
      <c r="M129" s="16" t="str">
        <f t="shared" si="67"/>
        <v/>
      </c>
      <c r="N129" s="16" t="str">
        <f t="shared" si="68"/>
        <v/>
      </c>
      <c r="O129" s="15"/>
      <c r="P129" s="16" t="str">
        <f t="shared" si="69"/>
        <v/>
      </c>
      <c r="Q129" s="17" t="str">
        <f t="shared" si="70"/>
        <v/>
      </c>
      <c r="R129" s="14" t="s">
        <v>36</v>
      </c>
      <c r="S129" s="14"/>
    </row>
    <row r="130" spans="1:19" ht="16" x14ac:dyDescent="0.2">
      <c r="A130" s="13" t="s">
        <v>230</v>
      </c>
      <c r="B130" s="14"/>
      <c r="C130" s="14" t="s">
        <v>810</v>
      </c>
      <c r="D130" s="14"/>
      <c r="E130" s="14" t="s">
        <v>76</v>
      </c>
      <c r="F130" s="14" t="s">
        <v>783</v>
      </c>
      <c r="G130" s="15">
        <v>950</v>
      </c>
      <c r="H130" s="15">
        <v>980</v>
      </c>
      <c r="I130" s="21">
        <v>950</v>
      </c>
      <c r="J130" s="16">
        <f t="shared" si="71"/>
        <v>960</v>
      </c>
      <c r="K130" s="16">
        <f t="shared" si="72"/>
        <v>960</v>
      </c>
      <c r="L130" s="16">
        <f t="shared" si="66"/>
        <v>910</v>
      </c>
      <c r="M130" s="16">
        <f t="shared" si="67"/>
        <v>880</v>
      </c>
      <c r="N130" s="16">
        <f t="shared" si="68"/>
        <v>840</v>
      </c>
      <c r="O130" s="15"/>
      <c r="P130" s="16" t="str">
        <f t="shared" si="69"/>
        <v/>
      </c>
      <c r="Q130" s="17" t="str">
        <f t="shared" si="70"/>
        <v/>
      </c>
      <c r="R130" s="14" t="s">
        <v>36</v>
      </c>
      <c r="S130" s="14"/>
    </row>
    <row r="131" spans="1:19" ht="16" x14ac:dyDescent="0.2">
      <c r="A131" s="13" t="s">
        <v>231</v>
      </c>
      <c r="B131" s="14"/>
      <c r="C131" s="14" t="s">
        <v>733</v>
      </c>
      <c r="D131" s="14"/>
      <c r="E131" s="14"/>
      <c r="F131" s="14"/>
      <c r="G131" s="15"/>
      <c r="H131" s="15"/>
      <c r="I131" s="15"/>
      <c r="J131" s="16" t="str">
        <f t="shared" si="71"/>
        <v/>
      </c>
      <c r="K131" s="16" t="str">
        <f t="shared" si="72"/>
        <v/>
      </c>
      <c r="L131" s="16" t="str">
        <f t="shared" si="66"/>
        <v/>
      </c>
      <c r="M131" s="16" t="str">
        <f t="shared" si="67"/>
        <v/>
      </c>
      <c r="N131" s="16" t="str">
        <f t="shared" si="68"/>
        <v/>
      </c>
      <c r="O131" s="15"/>
      <c r="P131" s="16" t="str">
        <f t="shared" si="69"/>
        <v/>
      </c>
      <c r="Q131" s="17" t="str">
        <f t="shared" si="70"/>
        <v/>
      </c>
      <c r="R131" s="14" t="s">
        <v>36</v>
      </c>
      <c r="S131" s="14"/>
    </row>
    <row r="132" spans="1:19" ht="16" x14ac:dyDescent="0.2">
      <c r="A132" s="13" t="s">
        <v>232</v>
      </c>
      <c r="B132" s="14"/>
      <c r="C132" s="14" t="s">
        <v>717</v>
      </c>
      <c r="D132" s="14"/>
      <c r="E132" s="14"/>
      <c r="F132" s="14"/>
      <c r="G132" s="15"/>
      <c r="H132" s="15"/>
      <c r="I132" s="15"/>
      <c r="J132" s="16" t="str">
        <f t="shared" si="71"/>
        <v/>
      </c>
      <c r="K132" s="16" t="str">
        <f t="shared" si="72"/>
        <v/>
      </c>
      <c r="L132" s="16" t="str">
        <f t="shared" si="66"/>
        <v/>
      </c>
      <c r="M132" s="16" t="str">
        <f t="shared" si="67"/>
        <v/>
      </c>
      <c r="N132" s="16" t="str">
        <f t="shared" si="68"/>
        <v/>
      </c>
      <c r="O132" s="15"/>
      <c r="P132" s="16" t="str">
        <f t="shared" si="69"/>
        <v/>
      </c>
      <c r="Q132" s="17" t="str">
        <f t="shared" si="70"/>
        <v/>
      </c>
      <c r="R132" s="14" t="s">
        <v>36</v>
      </c>
      <c r="S132" s="14"/>
    </row>
    <row r="133" spans="1:19" ht="16" x14ac:dyDescent="0.2">
      <c r="A133" s="13" t="s">
        <v>233</v>
      </c>
      <c r="B133" s="14"/>
      <c r="C133" s="14" t="s">
        <v>718</v>
      </c>
      <c r="D133" s="14"/>
      <c r="E133" s="14"/>
      <c r="F133" s="14"/>
      <c r="G133" s="15"/>
      <c r="H133" s="15"/>
      <c r="I133" s="15"/>
      <c r="J133" s="16" t="str">
        <f t="shared" si="71"/>
        <v/>
      </c>
      <c r="K133" s="16" t="str">
        <f t="shared" si="72"/>
        <v/>
      </c>
      <c r="L133" s="16" t="str">
        <f t="shared" si="66"/>
        <v/>
      </c>
      <c r="M133" s="16" t="str">
        <f t="shared" si="67"/>
        <v/>
      </c>
      <c r="N133" s="16" t="str">
        <f t="shared" si="68"/>
        <v/>
      </c>
      <c r="O133" s="15"/>
      <c r="P133" s="16" t="str">
        <f t="shared" si="69"/>
        <v/>
      </c>
      <c r="Q133" s="17" t="str">
        <f t="shared" si="70"/>
        <v/>
      </c>
      <c r="R133" s="14" t="s">
        <v>36</v>
      </c>
      <c r="S133" s="14"/>
    </row>
    <row r="134" spans="1:19" ht="16" x14ac:dyDescent="0.2">
      <c r="A134" s="13" t="s">
        <v>234</v>
      </c>
      <c r="B134" s="14"/>
      <c r="C134" s="14" t="s">
        <v>719</v>
      </c>
      <c r="D134" s="14"/>
      <c r="E134" s="14"/>
      <c r="F134" s="14"/>
      <c r="G134" s="15"/>
      <c r="H134" s="15"/>
      <c r="I134" s="15"/>
      <c r="J134" s="16" t="str">
        <f t="shared" si="71"/>
        <v/>
      </c>
      <c r="K134" s="16" t="str">
        <f t="shared" si="72"/>
        <v/>
      </c>
      <c r="L134" s="16" t="str">
        <f t="shared" si="66"/>
        <v/>
      </c>
      <c r="M134" s="16" t="str">
        <f t="shared" si="67"/>
        <v/>
      </c>
      <c r="N134" s="16" t="str">
        <f t="shared" si="68"/>
        <v/>
      </c>
      <c r="O134" s="15"/>
      <c r="P134" s="16" t="str">
        <f t="shared" si="69"/>
        <v/>
      </c>
      <c r="Q134" s="17" t="str">
        <f t="shared" si="70"/>
        <v/>
      </c>
      <c r="R134" s="14" t="s">
        <v>36</v>
      </c>
      <c r="S134" s="14"/>
    </row>
    <row r="135" spans="1:19" ht="16" x14ac:dyDescent="0.2">
      <c r="A135" s="13" t="s">
        <v>235</v>
      </c>
      <c r="B135" s="14"/>
      <c r="C135" s="14" t="s">
        <v>720</v>
      </c>
      <c r="D135" s="14"/>
      <c r="E135" s="14"/>
      <c r="F135" s="14"/>
      <c r="G135" s="15"/>
      <c r="H135" s="15"/>
      <c r="I135" s="15"/>
      <c r="J135" s="16" t="str">
        <f t="shared" si="71"/>
        <v/>
      </c>
      <c r="K135" s="16" t="str">
        <f t="shared" si="72"/>
        <v/>
      </c>
      <c r="L135" s="16" t="str">
        <f t="shared" si="66"/>
        <v/>
      </c>
      <c r="M135" s="16" t="str">
        <f t="shared" si="67"/>
        <v/>
      </c>
      <c r="N135" s="16" t="str">
        <f t="shared" si="68"/>
        <v/>
      </c>
      <c r="O135" s="15"/>
      <c r="P135" s="16" t="str">
        <f t="shared" si="69"/>
        <v/>
      </c>
      <c r="Q135" s="17" t="str">
        <f t="shared" si="70"/>
        <v/>
      </c>
      <c r="R135" s="14" t="s">
        <v>36</v>
      </c>
      <c r="S135" s="14"/>
    </row>
    <row r="136" spans="1:19" ht="16" x14ac:dyDescent="0.2">
      <c r="A136" s="13" t="s">
        <v>236</v>
      </c>
      <c r="B136" s="14"/>
      <c r="C136" s="14" t="s">
        <v>721</v>
      </c>
      <c r="D136" s="14"/>
      <c r="E136" s="14"/>
      <c r="F136" s="14"/>
      <c r="G136" s="15"/>
      <c r="H136" s="15"/>
      <c r="I136" s="15"/>
      <c r="J136" s="16" t="str">
        <f>IF(COUNT(G136:I136)=0,"",ROUND(AVERAGE(G136:I136),0))</f>
        <v/>
      </c>
      <c r="K136" s="16" t="str">
        <f>IF(J136="","",ROUND(J136/10,0)*10)</f>
        <v/>
      </c>
      <c r="L136" s="16" t="str">
        <f t="shared" si="66"/>
        <v/>
      </c>
      <c r="M136" s="16" t="str">
        <f t="shared" si="67"/>
        <v/>
      </c>
      <c r="N136" s="16" t="str">
        <f t="shared" si="68"/>
        <v/>
      </c>
      <c r="O136" s="15"/>
      <c r="P136" s="16" t="str">
        <f t="shared" si="69"/>
        <v/>
      </c>
      <c r="Q136" s="17" t="str">
        <f t="shared" si="70"/>
        <v/>
      </c>
      <c r="R136" s="14" t="s">
        <v>36</v>
      </c>
      <c r="S136" s="14"/>
    </row>
    <row r="137" spans="1:19" ht="16" x14ac:dyDescent="0.2">
      <c r="A137" s="13" t="s">
        <v>237</v>
      </c>
      <c r="B137" s="14"/>
      <c r="C137" s="14" t="s">
        <v>722</v>
      </c>
      <c r="D137" s="14"/>
      <c r="E137" s="14"/>
      <c r="F137" s="14"/>
      <c r="G137" s="15"/>
      <c r="H137" s="15"/>
      <c r="I137" s="15"/>
      <c r="J137" s="16" t="str">
        <f t="shared" ref="J137:J150" si="73">IF(COUNT(G137:I137)=0,"",ROUND(AVERAGE(G137:I137),0))</f>
        <v/>
      </c>
      <c r="K137" s="16" t="str">
        <f t="shared" ref="K137:K150" si="74">IF(J137="","",ROUND(J137/10,0)*10)</f>
        <v/>
      </c>
      <c r="L137" s="16" t="str">
        <f t="shared" si="66"/>
        <v/>
      </c>
      <c r="M137" s="16" t="str">
        <f t="shared" si="67"/>
        <v/>
      </c>
      <c r="N137" s="16" t="str">
        <f t="shared" si="68"/>
        <v/>
      </c>
      <c r="O137" s="15"/>
      <c r="P137" s="16" t="str">
        <f t="shared" si="69"/>
        <v/>
      </c>
      <c r="Q137" s="17" t="str">
        <f t="shared" si="70"/>
        <v/>
      </c>
      <c r="R137" s="14" t="s">
        <v>36</v>
      </c>
      <c r="S137" s="14"/>
    </row>
    <row r="138" spans="1:19" ht="16" x14ac:dyDescent="0.2">
      <c r="A138" s="13" t="s">
        <v>238</v>
      </c>
      <c r="B138" s="14"/>
      <c r="C138" s="14" t="s">
        <v>723</v>
      </c>
      <c r="D138" s="14"/>
      <c r="E138" s="14"/>
      <c r="F138" s="14"/>
      <c r="G138" s="15"/>
      <c r="H138" s="15"/>
      <c r="I138" s="15"/>
      <c r="J138" s="16" t="str">
        <f t="shared" si="73"/>
        <v/>
      </c>
      <c r="K138" s="16" t="str">
        <f t="shared" si="74"/>
        <v/>
      </c>
      <c r="L138" s="16" t="str">
        <f t="shared" si="66"/>
        <v/>
      </c>
      <c r="M138" s="16" t="str">
        <f t="shared" si="67"/>
        <v/>
      </c>
      <c r="N138" s="16" t="str">
        <f t="shared" si="68"/>
        <v/>
      </c>
      <c r="O138" s="15"/>
      <c r="P138" s="16" t="str">
        <f t="shared" si="69"/>
        <v/>
      </c>
      <c r="Q138" s="17" t="str">
        <f t="shared" si="70"/>
        <v/>
      </c>
      <c r="R138" s="14" t="s">
        <v>36</v>
      </c>
      <c r="S138" s="14"/>
    </row>
    <row r="139" spans="1:19" ht="16" x14ac:dyDescent="0.2">
      <c r="A139" s="13" t="s">
        <v>239</v>
      </c>
      <c r="B139" s="14"/>
      <c r="C139" s="14" t="s">
        <v>724</v>
      </c>
      <c r="D139" s="14"/>
      <c r="E139" s="14"/>
      <c r="F139" s="14"/>
      <c r="G139" s="15"/>
      <c r="H139" s="15"/>
      <c r="I139" s="15"/>
      <c r="J139" s="16" t="str">
        <f t="shared" si="73"/>
        <v/>
      </c>
      <c r="K139" s="16" t="str">
        <f t="shared" si="74"/>
        <v/>
      </c>
      <c r="L139" s="16" t="str">
        <f t="shared" si="66"/>
        <v/>
      </c>
      <c r="M139" s="16" t="str">
        <f t="shared" si="67"/>
        <v/>
      </c>
      <c r="N139" s="16" t="str">
        <f t="shared" si="68"/>
        <v/>
      </c>
      <c r="O139" s="15"/>
      <c r="P139" s="16" t="str">
        <f t="shared" si="69"/>
        <v/>
      </c>
      <c r="Q139" s="17" t="str">
        <f t="shared" si="70"/>
        <v/>
      </c>
      <c r="R139" s="14" t="s">
        <v>36</v>
      </c>
      <c r="S139" s="14"/>
    </row>
    <row r="140" spans="1:19" ht="16" x14ac:dyDescent="0.2">
      <c r="A140" s="13" t="s">
        <v>240</v>
      </c>
      <c r="B140" s="14"/>
      <c r="C140" s="14" t="s">
        <v>725</v>
      </c>
      <c r="D140" s="14"/>
      <c r="E140" s="14"/>
      <c r="F140" s="14"/>
      <c r="G140" s="15"/>
      <c r="H140" s="15"/>
      <c r="I140" s="15"/>
      <c r="J140" s="16" t="str">
        <f t="shared" si="73"/>
        <v/>
      </c>
      <c r="K140" s="16" t="str">
        <f t="shared" si="74"/>
        <v/>
      </c>
      <c r="L140" s="16" t="str">
        <f t="shared" si="66"/>
        <v/>
      </c>
      <c r="M140" s="16" t="str">
        <f t="shared" si="67"/>
        <v/>
      </c>
      <c r="N140" s="16" t="str">
        <f t="shared" si="68"/>
        <v/>
      </c>
      <c r="O140" s="15"/>
      <c r="P140" s="16" t="str">
        <f t="shared" si="69"/>
        <v/>
      </c>
      <c r="Q140" s="17" t="str">
        <f t="shared" si="70"/>
        <v/>
      </c>
      <c r="R140" s="14" t="s">
        <v>36</v>
      </c>
      <c r="S140" s="14"/>
    </row>
    <row r="141" spans="1:19" ht="16" x14ac:dyDescent="0.2">
      <c r="A141" s="13" t="s">
        <v>241</v>
      </c>
      <c r="B141" s="14"/>
      <c r="C141" s="14" t="s">
        <v>726</v>
      </c>
      <c r="D141" s="14"/>
      <c r="E141" s="14"/>
      <c r="F141" s="14"/>
      <c r="G141" s="15"/>
      <c r="H141" s="15"/>
      <c r="I141" s="15"/>
      <c r="J141" s="16" t="str">
        <f t="shared" si="73"/>
        <v/>
      </c>
      <c r="K141" s="16" t="str">
        <f t="shared" si="74"/>
        <v/>
      </c>
      <c r="L141" s="16" t="str">
        <f t="shared" si="66"/>
        <v/>
      </c>
      <c r="M141" s="16" t="str">
        <f t="shared" si="67"/>
        <v/>
      </c>
      <c r="N141" s="16" t="str">
        <f t="shared" si="68"/>
        <v/>
      </c>
      <c r="O141" s="15"/>
      <c r="P141" s="16" t="str">
        <f t="shared" si="69"/>
        <v/>
      </c>
      <c r="Q141" s="17" t="str">
        <f t="shared" si="70"/>
        <v/>
      </c>
      <c r="R141" s="14" t="s">
        <v>36</v>
      </c>
      <c r="S141" s="14"/>
    </row>
    <row r="142" spans="1:19" ht="16" x14ac:dyDescent="0.2">
      <c r="A142" s="13" t="s">
        <v>242</v>
      </c>
      <c r="B142" s="14"/>
      <c r="C142" s="14" t="s">
        <v>186</v>
      </c>
      <c r="D142" s="14"/>
      <c r="E142" s="14"/>
      <c r="F142" s="14"/>
      <c r="G142" s="15"/>
      <c r="H142" s="15"/>
      <c r="I142" s="15"/>
      <c r="J142" s="16" t="str">
        <f t="shared" si="73"/>
        <v/>
      </c>
      <c r="K142" s="16" t="str">
        <f t="shared" si="74"/>
        <v/>
      </c>
      <c r="L142" s="16" t="str">
        <f t="shared" si="66"/>
        <v/>
      </c>
      <c r="M142" s="16" t="str">
        <f t="shared" si="67"/>
        <v/>
      </c>
      <c r="N142" s="16" t="str">
        <f t="shared" si="68"/>
        <v/>
      </c>
      <c r="O142" s="15"/>
      <c r="P142" s="16" t="str">
        <f t="shared" si="69"/>
        <v/>
      </c>
      <c r="Q142" s="17" t="str">
        <f t="shared" si="70"/>
        <v/>
      </c>
      <c r="R142" s="14" t="s">
        <v>36</v>
      </c>
      <c r="S142" s="14"/>
    </row>
    <row r="143" spans="1:19" ht="16" x14ac:dyDescent="0.2">
      <c r="A143" s="13" t="s">
        <v>243</v>
      </c>
      <c r="B143" s="14"/>
      <c r="C143" s="14" t="s">
        <v>727</v>
      </c>
      <c r="D143" s="14"/>
      <c r="E143" s="14"/>
      <c r="F143" s="14"/>
      <c r="G143" s="15"/>
      <c r="H143" s="15"/>
      <c r="I143" s="15"/>
      <c r="J143" s="16" t="str">
        <f t="shared" si="73"/>
        <v/>
      </c>
      <c r="K143" s="16" t="str">
        <f t="shared" si="74"/>
        <v/>
      </c>
      <c r="L143" s="16" t="str">
        <f>IF(K143="","",ROUND(K143*95%/10,0)*10)</f>
        <v/>
      </c>
      <c r="M143" s="16" t="str">
        <f>IF(K143="","",ROUND(K143*92%/10,0)*10)</f>
        <v/>
      </c>
      <c r="N143" s="16" t="str">
        <f>IF(K143="","",ROUND(K143*88%/10,0)*10)</f>
        <v/>
      </c>
      <c r="O143" s="15"/>
      <c r="P143" s="16" t="str">
        <f>IF(OR(K143="",O143=""),"",K143-O143)</f>
        <v/>
      </c>
      <c r="Q143" s="17" t="str">
        <f>IF(OR(K143="",O143="",K143=0),"",P143/K143)</f>
        <v/>
      </c>
      <c r="R143" s="14" t="s">
        <v>36</v>
      </c>
      <c r="S143" s="14"/>
    </row>
    <row r="144" spans="1:19" ht="16" x14ac:dyDescent="0.2">
      <c r="A144" s="13" t="s">
        <v>244</v>
      </c>
      <c r="B144" s="14"/>
      <c r="C144" s="14" t="s">
        <v>729</v>
      </c>
      <c r="D144" s="14" t="s">
        <v>728</v>
      </c>
      <c r="E144" s="14"/>
      <c r="F144" s="14"/>
      <c r="G144" s="15"/>
      <c r="H144" s="15"/>
      <c r="I144" s="15"/>
      <c r="J144" s="16" t="str">
        <f t="shared" si="73"/>
        <v/>
      </c>
      <c r="K144" s="16" t="str">
        <f t="shared" si="74"/>
        <v/>
      </c>
      <c r="L144" s="16" t="str">
        <f>IF(K144="","",ROUND(K144*95%/10,0)*10)</f>
        <v/>
      </c>
      <c r="M144" s="16" t="str">
        <f>IF(K144="","",ROUND(K144*92%/10,0)*10)</f>
        <v/>
      </c>
      <c r="N144" s="16" t="str">
        <f>IF(K144="","",ROUND(K144*88%/10,0)*10)</f>
        <v/>
      </c>
      <c r="O144" s="15"/>
      <c r="P144" s="16" t="str">
        <f>IF(OR(K144="",O144=""),"",K144-O144)</f>
        <v/>
      </c>
      <c r="Q144" s="17" t="str">
        <f>IF(OR(K144="",O144="",K144=0),"",P144/K144)</f>
        <v/>
      </c>
      <c r="R144" s="14" t="s">
        <v>36</v>
      </c>
      <c r="S144" s="14"/>
    </row>
    <row r="145" spans="1:19" ht="16" x14ac:dyDescent="0.2">
      <c r="A145" s="13" t="s">
        <v>245</v>
      </c>
      <c r="B145" s="14"/>
      <c r="C145" s="14" t="s">
        <v>730</v>
      </c>
      <c r="D145" s="14"/>
      <c r="E145" s="14"/>
      <c r="F145" s="14"/>
      <c r="G145" s="15"/>
      <c r="H145" s="15"/>
      <c r="I145" s="15"/>
      <c r="J145" s="16" t="str">
        <f t="shared" si="73"/>
        <v/>
      </c>
      <c r="K145" s="16" t="str">
        <f t="shared" si="74"/>
        <v/>
      </c>
      <c r="L145" s="16" t="str">
        <f t="shared" ref="L145:L158" si="75">IF(K145="","",ROUND(K145*95%/10,0)*10)</f>
        <v/>
      </c>
      <c r="M145" s="16" t="str">
        <f t="shared" ref="M145:M158" si="76">IF(K145="","",ROUND(K145*92%/10,0)*10)</f>
        <v/>
      </c>
      <c r="N145" s="16" t="str">
        <f t="shared" ref="N145:N158" si="77">IF(K145="","",ROUND(K145*88%/10,0)*10)</f>
        <v/>
      </c>
      <c r="O145" s="15"/>
      <c r="P145" s="16" t="str">
        <f t="shared" ref="P145:P158" si="78">IF(OR(K145="",O145=""),"",K145-O145)</f>
        <v/>
      </c>
      <c r="Q145" s="17" t="str">
        <f t="shared" ref="Q145:Q158" si="79">IF(OR(K145="",O145="",K145=0),"",P145/K145)</f>
        <v/>
      </c>
      <c r="R145" s="14" t="s">
        <v>36</v>
      </c>
      <c r="S145" s="14"/>
    </row>
    <row r="146" spans="1:19" ht="16" x14ac:dyDescent="0.2">
      <c r="A146" s="13" t="s">
        <v>246</v>
      </c>
      <c r="B146" s="14"/>
      <c r="C146" s="14" t="s">
        <v>731</v>
      </c>
      <c r="D146" s="14"/>
      <c r="E146" s="14"/>
      <c r="F146" s="14"/>
      <c r="G146" s="15"/>
      <c r="H146" s="15"/>
      <c r="I146" s="15"/>
      <c r="J146" s="16" t="str">
        <f t="shared" si="73"/>
        <v/>
      </c>
      <c r="K146" s="16" t="str">
        <f t="shared" si="74"/>
        <v/>
      </c>
      <c r="L146" s="16" t="str">
        <f t="shared" si="75"/>
        <v/>
      </c>
      <c r="M146" s="16" t="str">
        <f t="shared" si="76"/>
        <v/>
      </c>
      <c r="N146" s="16" t="str">
        <f t="shared" si="77"/>
        <v/>
      </c>
      <c r="O146" s="15"/>
      <c r="P146" s="16" t="str">
        <f t="shared" si="78"/>
        <v/>
      </c>
      <c r="Q146" s="17" t="str">
        <f t="shared" si="79"/>
        <v/>
      </c>
      <c r="R146" s="14" t="s">
        <v>36</v>
      </c>
      <c r="S146" s="14"/>
    </row>
    <row r="147" spans="1:19" ht="16" x14ac:dyDescent="0.2">
      <c r="A147" s="13" t="s">
        <v>247</v>
      </c>
      <c r="B147" s="14"/>
      <c r="C147" s="14" t="s">
        <v>732</v>
      </c>
      <c r="D147" s="14"/>
      <c r="E147" s="14"/>
      <c r="F147" s="14"/>
      <c r="G147" s="15"/>
      <c r="H147" s="15"/>
      <c r="I147" s="15"/>
      <c r="J147" s="16" t="str">
        <f t="shared" si="73"/>
        <v/>
      </c>
      <c r="K147" s="16" t="str">
        <f t="shared" si="74"/>
        <v/>
      </c>
      <c r="L147" s="16" t="str">
        <f t="shared" si="75"/>
        <v/>
      </c>
      <c r="M147" s="16" t="str">
        <f t="shared" si="76"/>
        <v/>
      </c>
      <c r="N147" s="16" t="str">
        <f t="shared" si="77"/>
        <v/>
      </c>
      <c r="O147" s="15"/>
      <c r="P147" s="16" t="str">
        <f t="shared" si="78"/>
        <v/>
      </c>
      <c r="Q147" s="17" t="str">
        <f t="shared" si="79"/>
        <v/>
      </c>
      <c r="R147" s="14" t="s">
        <v>36</v>
      </c>
      <c r="S147" s="14"/>
    </row>
    <row r="148" spans="1:19" ht="16" x14ac:dyDescent="0.2">
      <c r="A148" s="13" t="s">
        <v>248</v>
      </c>
      <c r="B148" s="14"/>
      <c r="C148" s="14" t="s">
        <v>734</v>
      </c>
      <c r="D148" s="14"/>
      <c r="E148" s="14"/>
      <c r="F148" s="14"/>
      <c r="G148" s="15"/>
      <c r="H148" s="15"/>
      <c r="I148" s="15"/>
      <c r="J148" s="16" t="str">
        <f t="shared" si="73"/>
        <v/>
      </c>
      <c r="K148" s="16" t="str">
        <f t="shared" si="74"/>
        <v/>
      </c>
      <c r="L148" s="16" t="str">
        <f t="shared" si="75"/>
        <v/>
      </c>
      <c r="M148" s="16" t="str">
        <f t="shared" si="76"/>
        <v/>
      </c>
      <c r="N148" s="16" t="str">
        <f t="shared" si="77"/>
        <v/>
      </c>
      <c r="O148" s="15"/>
      <c r="P148" s="16" t="str">
        <f t="shared" si="78"/>
        <v/>
      </c>
      <c r="Q148" s="17" t="str">
        <f t="shared" si="79"/>
        <v/>
      </c>
      <c r="R148" s="14" t="s">
        <v>36</v>
      </c>
      <c r="S148" s="14"/>
    </row>
    <row r="149" spans="1:19" ht="16" x14ac:dyDescent="0.2">
      <c r="A149" s="13" t="s">
        <v>249</v>
      </c>
      <c r="B149" s="14"/>
      <c r="C149" s="14" t="s">
        <v>735</v>
      </c>
      <c r="D149" s="14"/>
      <c r="E149" s="14"/>
      <c r="F149" s="14"/>
      <c r="G149" s="15"/>
      <c r="H149" s="15"/>
      <c r="I149" s="15"/>
      <c r="J149" s="16" t="str">
        <f t="shared" si="73"/>
        <v/>
      </c>
      <c r="K149" s="16" t="str">
        <f t="shared" si="74"/>
        <v/>
      </c>
      <c r="L149" s="16" t="str">
        <f t="shared" si="75"/>
        <v/>
      </c>
      <c r="M149" s="16" t="str">
        <f t="shared" si="76"/>
        <v/>
      </c>
      <c r="N149" s="16" t="str">
        <f t="shared" si="77"/>
        <v/>
      </c>
      <c r="O149" s="15"/>
      <c r="P149" s="16" t="str">
        <f t="shared" si="78"/>
        <v/>
      </c>
      <c r="Q149" s="17" t="str">
        <f t="shared" si="79"/>
        <v/>
      </c>
      <c r="R149" s="14" t="s">
        <v>36</v>
      </c>
      <c r="S149" s="14"/>
    </row>
    <row r="150" spans="1:19" ht="16" x14ac:dyDescent="0.2">
      <c r="A150" s="13" t="s">
        <v>250</v>
      </c>
      <c r="B150" s="14"/>
      <c r="C150" s="14" t="s">
        <v>736</v>
      </c>
      <c r="D150" s="14"/>
      <c r="E150" s="14"/>
      <c r="F150" s="14"/>
      <c r="G150" s="15"/>
      <c r="H150" s="15"/>
      <c r="I150" s="15"/>
      <c r="J150" s="16" t="str">
        <f t="shared" si="73"/>
        <v/>
      </c>
      <c r="K150" s="16" t="str">
        <f t="shared" si="74"/>
        <v/>
      </c>
      <c r="L150" s="16" t="str">
        <f t="shared" si="75"/>
        <v/>
      </c>
      <c r="M150" s="16" t="str">
        <f t="shared" si="76"/>
        <v/>
      </c>
      <c r="N150" s="16" t="str">
        <f t="shared" si="77"/>
        <v/>
      </c>
      <c r="O150" s="15"/>
      <c r="P150" s="16" t="str">
        <f t="shared" si="78"/>
        <v/>
      </c>
      <c r="Q150" s="17" t="str">
        <f t="shared" si="79"/>
        <v/>
      </c>
      <c r="R150" s="14" t="s">
        <v>36</v>
      </c>
      <c r="S150" s="14"/>
    </row>
    <row r="151" spans="1:19" ht="16" x14ac:dyDescent="0.2">
      <c r="A151" s="13" t="s">
        <v>251</v>
      </c>
      <c r="B151" s="14"/>
      <c r="C151" s="14" t="s">
        <v>737</v>
      </c>
      <c r="D151" s="14"/>
      <c r="E151" s="14"/>
      <c r="F151" s="14"/>
      <c r="G151" s="15"/>
      <c r="H151" s="15"/>
      <c r="I151" s="15"/>
      <c r="J151" s="16" t="str">
        <f>IF(COUNT(G151:I151)=0,"",ROUND(AVERAGE(G151:I151),0))</f>
        <v/>
      </c>
      <c r="K151" s="16" t="str">
        <f>IF(J151="","",ROUND(J151/10,0)*10)</f>
        <v/>
      </c>
      <c r="L151" s="16" t="str">
        <f t="shared" si="75"/>
        <v/>
      </c>
      <c r="M151" s="16" t="str">
        <f t="shared" si="76"/>
        <v/>
      </c>
      <c r="N151" s="16" t="str">
        <f t="shared" si="77"/>
        <v/>
      </c>
      <c r="O151" s="15"/>
      <c r="P151" s="16" t="str">
        <f t="shared" si="78"/>
        <v/>
      </c>
      <c r="Q151" s="17" t="str">
        <f t="shared" si="79"/>
        <v/>
      </c>
      <c r="R151" s="14" t="s">
        <v>36</v>
      </c>
      <c r="S151" s="14"/>
    </row>
    <row r="152" spans="1:19" ht="16" x14ac:dyDescent="0.2">
      <c r="A152" s="13" t="s">
        <v>252</v>
      </c>
      <c r="B152" s="14"/>
      <c r="C152" s="14" t="s">
        <v>738</v>
      </c>
      <c r="D152" s="14"/>
      <c r="E152" s="14" t="s">
        <v>76</v>
      </c>
      <c r="F152" s="14" t="s">
        <v>783</v>
      </c>
      <c r="G152" s="21">
        <v>900</v>
      </c>
      <c r="H152" s="21">
        <v>980</v>
      </c>
      <c r="I152" s="15"/>
      <c r="J152" s="16">
        <f t="shared" ref="J152:J165" si="80">IF(COUNT(G152:I152)=0,"",ROUND(AVERAGE(G152:I152),0))</f>
        <v>940</v>
      </c>
      <c r="K152" s="16">
        <f t="shared" ref="K152:K165" si="81">IF(J152="","",ROUND(J152/10,0)*10)</f>
        <v>940</v>
      </c>
      <c r="L152" s="16">
        <f t="shared" si="75"/>
        <v>890</v>
      </c>
      <c r="M152" s="16">
        <f t="shared" si="76"/>
        <v>860</v>
      </c>
      <c r="N152" s="16">
        <f t="shared" si="77"/>
        <v>830</v>
      </c>
      <c r="O152" s="15"/>
      <c r="P152" s="16" t="str">
        <f t="shared" si="78"/>
        <v/>
      </c>
      <c r="Q152" s="17" t="str">
        <f t="shared" si="79"/>
        <v/>
      </c>
      <c r="R152" s="14" t="s">
        <v>36</v>
      </c>
      <c r="S152" s="14"/>
    </row>
    <row r="153" spans="1:19" ht="16" x14ac:dyDescent="0.2">
      <c r="A153" s="13" t="s">
        <v>253</v>
      </c>
      <c r="B153" s="14"/>
      <c r="C153" s="14" t="s">
        <v>739</v>
      </c>
      <c r="D153" s="14"/>
      <c r="E153" s="14"/>
      <c r="F153" s="14"/>
      <c r="G153" s="15"/>
      <c r="H153" s="15"/>
      <c r="I153" s="15"/>
      <c r="J153" s="16" t="str">
        <f t="shared" si="80"/>
        <v/>
      </c>
      <c r="K153" s="16" t="str">
        <f t="shared" si="81"/>
        <v/>
      </c>
      <c r="L153" s="16" t="str">
        <f t="shared" si="75"/>
        <v/>
      </c>
      <c r="M153" s="16" t="str">
        <f t="shared" si="76"/>
        <v/>
      </c>
      <c r="N153" s="16" t="str">
        <f t="shared" si="77"/>
        <v/>
      </c>
      <c r="O153" s="15"/>
      <c r="P153" s="16" t="str">
        <f t="shared" si="78"/>
        <v/>
      </c>
      <c r="Q153" s="17" t="str">
        <f t="shared" si="79"/>
        <v/>
      </c>
      <c r="R153" s="14" t="s">
        <v>36</v>
      </c>
      <c r="S153" s="14"/>
    </row>
    <row r="154" spans="1:19" ht="16" x14ac:dyDescent="0.2">
      <c r="A154" s="13" t="s">
        <v>254</v>
      </c>
      <c r="B154" s="14"/>
      <c r="C154" s="14" t="s">
        <v>740</v>
      </c>
      <c r="D154" s="14"/>
      <c r="E154" s="14"/>
      <c r="F154" s="14"/>
      <c r="G154" s="15"/>
      <c r="H154" s="15"/>
      <c r="I154" s="15"/>
      <c r="J154" s="16" t="str">
        <f t="shared" si="80"/>
        <v/>
      </c>
      <c r="K154" s="16" t="str">
        <f t="shared" si="81"/>
        <v/>
      </c>
      <c r="L154" s="16" t="str">
        <f t="shared" si="75"/>
        <v/>
      </c>
      <c r="M154" s="16" t="str">
        <f t="shared" si="76"/>
        <v/>
      </c>
      <c r="N154" s="16" t="str">
        <f t="shared" si="77"/>
        <v/>
      </c>
      <c r="O154" s="15"/>
      <c r="P154" s="16" t="str">
        <f t="shared" si="78"/>
        <v/>
      </c>
      <c r="Q154" s="17" t="str">
        <f t="shared" si="79"/>
        <v/>
      </c>
      <c r="R154" s="14" t="s">
        <v>36</v>
      </c>
      <c r="S154" s="14"/>
    </row>
    <row r="155" spans="1:19" ht="16" x14ac:dyDescent="0.2">
      <c r="A155" s="13" t="s">
        <v>255</v>
      </c>
      <c r="B155" s="14"/>
      <c r="C155" s="14" t="s">
        <v>716</v>
      </c>
      <c r="D155" s="14"/>
      <c r="E155" s="14"/>
      <c r="F155" s="14"/>
      <c r="G155" s="15"/>
      <c r="H155" s="15"/>
      <c r="I155" s="15"/>
      <c r="J155" s="16" t="str">
        <f t="shared" si="80"/>
        <v/>
      </c>
      <c r="K155" s="16" t="str">
        <f t="shared" si="81"/>
        <v/>
      </c>
      <c r="L155" s="16" t="str">
        <f t="shared" si="75"/>
        <v/>
      </c>
      <c r="M155" s="16" t="str">
        <f t="shared" si="76"/>
        <v/>
      </c>
      <c r="N155" s="16" t="str">
        <f t="shared" si="77"/>
        <v/>
      </c>
      <c r="O155" s="15"/>
      <c r="P155" s="16" t="str">
        <f t="shared" si="78"/>
        <v/>
      </c>
      <c r="Q155" s="17" t="str">
        <f t="shared" si="79"/>
        <v/>
      </c>
      <c r="R155" s="14" t="s">
        <v>36</v>
      </c>
      <c r="S155" s="14"/>
    </row>
    <row r="156" spans="1:19" ht="16" x14ac:dyDescent="0.2">
      <c r="A156" s="13" t="s">
        <v>256</v>
      </c>
      <c r="B156" s="14"/>
      <c r="C156" s="14" t="s">
        <v>190</v>
      </c>
      <c r="D156" s="14"/>
      <c r="E156" s="14"/>
      <c r="F156" s="14"/>
      <c r="G156" s="15"/>
      <c r="H156" s="15"/>
      <c r="I156" s="15"/>
      <c r="J156" s="16" t="str">
        <f t="shared" si="80"/>
        <v/>
      </c>
      <c r="K156" s="16" t="str">
        <f t="shared" si="81"/>
        <v/>
      </c>
      <c r="L156" s="16" t="str">
        <f t="shared" si="75"/>
        <v/>
      </c>
      <c r="M156" s="16" t="str">
        <f t="shared" si="76"/>
        <v/>
      </c>
      <c r="N156" s="16" t="str">
        <f t="shared" si="77"/>
        <v/>
      </c>
      <c r="O156" s="15"/>
      <c r="P156" s="16" t="str">
        <f t="shared" si="78"/>
        <v/>
      </c>
      <c r="Q156" s="17" t="str">
        <f t="shared" si="79"/>
        <v/>
      </c>
      <c r="R156" s="14" t="s">
        <v>36</v>
      </c>
      <c r="S156" s="14"/>
    </row>
    <row r="157" spans="1:19" ht="16" x14ac:dyDescent="0.2">
      <c r="A157" s="13" t="s">
        <v>257</v>
      </c>
      <c r="B157" s="14"/>
      <c r="C157" s="14" t="s">
        <v>741</v>
      </c>
      <c r="D157" s="14"/>
      <c r="E157" s="14"/>
      <c r="F157" s="14"/>
      <c r="G157" s="15"/>
      <c r="H157" s="15"/>
      <c r="I157" s="15"/>
      <c r="J157" s="16" t="str">
        <f t="shared" si="80"/>
        <v/>
      </c>
      <c r="K157" s="16" t="str">
        <f t="shared" si="81"/>
        <v/>
      </c>
      <c r="L157" s="16" t="str">
        <f t="shared" si="75"/>
        <v/>
      </c>
      <c r="M157" s="16" t="str">
        <f t="shared" si="76"/>
        <v/>
      </c>
      <c r="N157" s="16" t="str">
        <f t="shared" si="77"/>
        <v/>
      </c>
      <c r="O157" s="15"/>
      <c r="P157" s="16" t="str">
        <f t="shared" si="78"/>
        <v/>
      </c>
      <c r="Q157" s="17" t="str">
        <f t="shared" si="79"/>
        <v/>
      </c>
      <c r="R157" s="14" t="s">
        <v>36</v>
      </c>
      <c r="S157" s="14"/>
    </row>
    <row r="158" spans="1:19" ht="16" x14ac:dyDescent="0.2">
      <c r="A158" s="13" t="s">
        <v>258</v>
      </c>
      <c r="B158" s="14"/>
      <c r="C158" s="14" t="s">
        <v>742</v>
      </c>
      <c r="D158" s="14"/>
      <c r="E158" s="14"/>
      <c r="F158" s="14"/>
      <c r="G158" s="15"/>
      <c r="H158" s="15"/>
      <c r="I158" s="15"/>
      <c r="J158" s="16" t="str">
        <f t="shared" si="80"/>
        <v/>
      </c>
      <c r="K158" s="16" t="str">
        <f t="shared" si="81"/>
        <v/>
      </c>
      <c r="L158" s="16" t="str">
        <f t="shared" si="75"/>
        <v/>
      </c>
      <c r="M158" s="16" t="str">
        <f t="shared" si="76"/>
        <v/>
      </c>
      <c r="N158" s="16" t="str">
        <f t="shared" si="77"/>
        <v/>
      </c>
      <c r="O158" s="15"/>
      <c r="P158" s="16" t="str">
        <f t="shared" si="78"/>
        <v/>
      </c>
      <c r="Q158" s="17" t="str">
        <f t="shared" si="79"/>
        <v/>
      </c>
      <c r="R158" s="14" t="s">
        <v>36</v>
      </c>
      <c r="S158" s="14"/>
    </row>
    <row r="159" spans="1:19" ht="16" x14ac:dyDescent="0.2">
      <c r="A159" s="13" t="s">
        <v>259</v>
      </c>
      <c r="B159" s="14"/>
      <c r="C159" s="14" t="s">
        <v>796</v>
      </c>
      <c r="D159" s="14"/>
      <c r="E159" s="14"/>
      <c r="F159" s="14"/>
      <c r="G159" s="15"/>
      <c r="H159" s="15"/>
      <c r="I159" s="15"/>
      <c r="J159" s="16" t="str">
        <f t="shared" si="80"/>
        <v/>
      </c>
      <c r="K159" s="16" t="str">
        <f t="shared" si="81"/>
        <v/>
      </c>
      <c r="L159" s="16" t="str">
        <f>IF(K159="","",ROUND(K159*95%/10,0)*10)</f>
        <v/>
      </c>
      <c r="M159" s="16" t="str">
        <f>IF(K159="","",ROUND(K159*92%/10,0)*10)</f>
        <v/>
      </c>
      <c r="N159" s="16" t="str">
        <f>IF(K159="","",ROUND(K159*88%/10,0)*10)</f>
        <v/>
      </c>
      <c r="O159" s="15"/>
      <c r="P159" s="16" t="str">
        <f>IF(OR(K159="",O159=""),"",K159-O159)</f>
        <v/>
      </c>
      <c r="Q159" s="17" t="str">
        <f>IF(OR(K159="",O159="",K159=0),"",P159/K159)</f>
        <v/>
      </c>
      <c r="R159" s="14" t="s">
        <v>36</v>
      </c>
      <c r="S159" s="14"/>
    </row>
    <row r="160" spans="1:19" ht="16" x14ac:dyDescent="0.2">
      <c r="A160" s="13" t="s">
        <v>260</v>
      </c>
      <c r="B160" s="14"/>
      <c r="C160" s="14" t="s">
        <v>811</v>
      </c>
      <c r="D160" s="14"/>
      <c r="E160" s="14" t="s">
        <v>76</v>
      </c>
      <c r="F160" s="14" t="s">
        <v>783</v>
      </c>
      <c r="G160" s="21">
        <v>900</v>
      </c>
      <c r="H160" s="21">
        <v>980</v>
      </c>
      <c r="I160" s="15"/>
      <c r="J160" s="16">
        <f t="shared" si="80"/>
        <v>940</v>
      </c>
      <c r="K160" s="16">
        <f t="shared" si="81"/>
        <v>940</v>
      </c>
      <c r="L160" s="16">
        <f t="shared" ref="L160:L184" si="82">IF(K160="","",ROUND(K160*95%/10,0)*10)</f>
        <v>890</v>
      </c>
      <c r="M160" s="16">
        <f t="shared" ref="M160:M175" si="83">IF(K160="","",ROUND(K160*92%/10,0)*10)</f>
        <v>860</v>
      </c>
      <c r="N160" s="16">
        <f t="shared" ref="N160:N175" si="84">IF(K160="","",ROUND(K160*88%/10,0)*10)</f>
        <v>830</v>
      </c>
      <c r="O160" s="15"/>
      <c r="P160" s="16" t="str">
        <f t="shared" ref="P160:P175" si="85">IF(OR(K160="",O160=""),"",K160-O160)</f>
        <v/>
      </c>
      <c r="Q160" s="17" t="str">
        <f t="shared" ref="Q160:Q175" si="86">IF(OR(K160="",O160="",K160=0),"",P160/K160)</f>
        <v/>
      </c>
      <c r="R160" s="14" t="s">
        <v>36</v>
      </c>
      <c r="S160" s="14"/>
    </row>
    <row r="161" spans="1:19" ht="16" x14ac:dyDescent="0.2">
      <c r="A161" s="13" t="s">
        <v>261</v>
      </c>
      <c r="B161" s="14"/>
      <c r="C161" s="14" t="s">
        <v>812</v>
      </c>
      <c r="D161" s="14"/>
      <c r="E161" s="14" t="s">
        <v>76</v>
      </c>
      <c r="F161" s="14" t="s">
        <v>783</v>
      </c>
      <c r="G161" s="21">
        <v>900</v>
      </c>
      <c r="H161" s="21">
        <v>850</v>
      </c>
      <c r="I161" s="15"/>
      <c r="J161" s="16">
        <f t="shared" si="80"/>
        <v>875</v>
      </c>
      <c r="K161" s="16">
        <f t="shared" si="81"/>
        <v>880</v>
      </c>
      <c r="L161" s="16">
        <f t="shared" si="82"/>
        <v>840</v>
      </c>
      <c r="M161" s="16">
        <f t="shared" si="83"/>
        <v>810</v>
      </c>
      <c r="N161" s="16">
        <f t="shared" si="84"/>
        <v>770</v>
      </c>
      <c r="O161" s="15"/>
      <c r="P161" s="16" t="str">
        <f t="shared" si="85"/>
        <v/>
      </c>
      <c r="Q161" s="17" t="str">
        <f t="shared" si="86"/>
        <v/>
      </c>
      <c r="R161" s="14" t="s">
        <v>36</v>
      </c>
      <c r="S161" s="14"/>
    </row>
    <row r="162" spans="1:19" ht="16" x14ac:dyDescent="0.2">
      <c r="A162" s="13" t="s">
        <v>262</v>
      </c>
      <c r="B162" s="14"/>
      <c r="C162" s="14" t="s">
        <v>813</v>
      </c>
      <c r="D162" s="14"/>
      <c r="E162" s="14" t="s">
        <v>76</v>
      </c>
      <c r="F162" s="14" t="s">
        <v>783</v>
      </c>
      <c r="G162" s="21">
        <v>900</v>
      </c>
      <c r="H162" s="21">
        <v>980</v>
      </c>
      <c r="I162" s="15"/>
      <c r="J162" s="16">
        <f t="shared" si="80"/>
        <v>940</v>
      </c>
      <c r="K162" s="16">
        <f t="shared" si="81"/>
        <v>940</v>
      </c>
      <c r="L162" s="16">
        <f t="shared" si="82"/>
        <v>890</v>
      </c>
      <c r="M162" s="16">
        <f t="shared" si="83"/>
        <v>860</v>
      </c>
      <c r="N162" s="16">
        <f t="shared" si="84"/>
        <v>830</v>
      </c>
      <c r="O162" s="15"/>
      <c r="P162" s="16" t="str">
        <f t="shared" si="85"/>
        <v/>
      </c>
      <c r="Q162" s="17" t="str">
        <f t="shared" si="86"/>
        <v/>
      </c>
      <c r="R162" s="14" t="s">
        <v>36</v>
      </c>
      <c r="S162" s="14"/>
    </row>
    <row r="163" spans="1:19" ht="16" x14ac:dyDescent="0.2">
      <c r="A163" s="13" t="s">
        <v>263</v>
      </c>
      <c r="B163" s="14"/>
      <c r="C163" s="14" t="s">
        <v>814</v>
      </c>
      <c r="D163" s="14"/>
      <c r="E163" s="14" t="s">
        <v>76</v>
      </c>
      <c r="F163" s="14" t="s">
        <v>783</v>
      </c>
      <c r="G163" s="21">
        <v>900</v>
      </c>
      <c r="H163" s="21">
        <v>980</v>
      </c>
      <c r="I163" s="15"/>
      <c r="J163" s="16">
        <f t="shared" si="80"/>
        <v>940</v>
      </c>
      <c r="K163" s="16">
        <f t="shared" si="81"/>
        <v>940</v>
      </c>
      <c r="L163" s="16">
        <f t="shared" si="82"/>
        <v>890</v>
      </c>
      <c r="M163" s="16">
        <f t="shared" si="83"/>
        <v>860</v>
      </c>
      <c r="N163" s="16">
        <f t="shared" si="84"/>
        <v>830</v>
      </c>
      <c r="O163" s="15"/>
      <c r="P163" s="16" t="str">
        <f t="shared" si="85"/>
        <v/>
      </c>
      <c r="Q163" s="17" t="str">
        <f t="shared" si="86"/>
        <v/>
      </c>
      <c r="R163" s="14" t="s">
        <v>36</v>
      </c>
      <c r="S163" s="14"/>
    </row>
    <row r="164" spans="1:19" ht="16" x14ac:dyDescent="0.2">
      <c r="A164" s="13" t="s">
        <v>264</v>
      </c>
      <c r="B164" s="14"/>
      <c r="C164" s="14" t="s">
        <v>815</v>
      </c>
      <c r="D164" s="14"/>
      <c r="E164" s="14" t="s">
        <v>76</v>
      </c>
      <c r="F164" s="14" t="s">
        <v>783</v>
      </c>
      <c r="G164" s="21">
        <v>900</v>
      </c>
      <c r="H164" s="21">
        <v>980</v>
      </c>
      <c r="I164" s="15"/>
      <c r="J164" s="16">
        <f t="shared" si="80"/>
        <v>940</v>
      </c>
      <c r="K164" s="16">
        <f t="shared" si="81"/>
        <v>940</v>
      </c>
      <c r="L164" s="16">
        <f t="shared" si="82"/>
        <v>890</v>
      </c>
      <c r="M164" s="16">
        <f t="shared" si="83"/>
        <v>860</v>
      </c>
      <c r="N164" s="16">
        <f t="shared" si="84"/>
        <v>830</v>
      </c>
      <c r="O164" s="15"/>
      <c r="P164" s="16" t="str">
        <f t="shared" si="85"/>
        <v/>
      </c>
      <c r="Q164" s="17" t="str">
        <f t="shared" si="86"/>
        <v/>
      </c>
      <c r="R164" s="14" t="s">
        <v>36</v>
      </c>
      <c r="S164" s="14"/>
    </row>
    <row r="165" spans="1:19" ht="16" x14ac:dyDescent="0.2">
      <c r="A165" s="13" t="s">
        <v>265</v>
      </c>
      <c r="B165" s="14"/>
      <c r="C165" s="14" t="s">
        <v>816</v>
      </c>
      <c r="D165" s="14"/>
      <c r="E165" s="14" t="s">
        <v>76</v>
      </c>
      <c r="F165" s="14" t="s">
        <v>783</v>
      </c>
      <c r="G165" s="21">
        <v>900</v>
      </c>
      <c r="H165" s="21">
        <v>980</v>
      </c>
      <c r="I165" s="15"/>
      <c r="J165" s="16">
        <f t="shared" si="80"/>
        <v>940</v>
      </c>
      <c r="K165" s="16">
        <f t="shared" si="81"/>
        <v>940</v>
      </c>
      <c r="L165" s="16">
        <f t="shared" si="82"/>
        <v>890</v>
      </c>
      <c r="M165" s="16">
        <f t="shared" si="83"/>
        <v>860</v>
      </c>
      <c r="N165" s="16">
        <f t="shared" si="84"/>
        <v>830</v>
      </c>
      <c r="O165" s="15"/>
      <c r="P165" s="16" t="str">
        <f t="shared" si="85"/>
        <v/>
      </c>
      <c r="Q165" s="17" t="str">
        <f t="shared" si="86"/>
        <v/>
      </c>
      <c r="R165" s="14" t="s">
        <v>36</v>
      </c>
      <c r="S165" s="14"/>
    </row>
    <row r="166" spans="1:19" ht="16" x14ac:dyDescent="0.2">
      <c r="A166" s="13" t="s">
        <v>266</v>
      </c>
      <c r="B166" s="14"/>
      <c r="C166" s="14" t="s">
        <v>743</v>
      </c>
      <c r="D166" s="14"/>
      <c r="E166" s="14"/>
      <c r="F166" s="14"/>
      <c r="G166" s="15"/>
      <c r="H166" s="15"/>
      <c r="I166" s="15"/>
      <c r="J166" s="16" t="str">
        <f>IF(COUNT(G166:I166)=0,"",ROUND(AVERAGE(G166:I166),0))</f>
        <v/>
      </c>
      <c r="K166" s="16" t="str">
        <f>IF(J166="","",ROUND(J166/10,0)*10)</f>
        <v/>
      </c>
      <c r="L166" s="16" t="str">
        <f t="shared" si="82"/>
        <v/>
      </c>
      <c r="M166" s="16" t="str">
        <f t="shared" si="83"/>
        <v/>
      </c>
      <c r="N166" s="16" t="str">
        <f t="shared" si="84"/>
        <v/>
      </c>
      <c r="O166" s="15"/>
      <c r="P166" s="16" t="str">
        <f t="shared" si="85"/>
        <v/>
      </c>
      <c r="Q166" s="17" t="str">
        <f t="shared" si="86"/>
        <v/>
      </c>
      <c r="R166" s="14" t="s">
        <v>36</v>
      </c>
      <c r="S166" s="14"/>
    </row>
    <row r="167" spans="1:19" ht="16" x14ac:dyDescent="0.2">
      <c r="A167" s="13" t="s">
        <v>267</v>
      </c>
      <c r="B167" s="14"/>
      <c r="C167" s="14" t="s">
        <v>695</v>
      </c>
      <c r="D167" s="14"/>
      <c r="E167" s="14"/>
      <c r="F167" s="14"/>
      <c r="G167" s="15"/>
      <c r="H167" s="15"/>
      <c r="I167" s="15"/>
      <c r="J167" s="16" t="str">
        <f t="shared" ref="J167:J178" si="87">IF(COUNT(G167:I167)=0,"",ROUND(AVERAGE(G167:I167),0))</f>
        <v/>
      </c>
      <c r="K167" s="16" t="str">
        <f t="shared" ref="K167:K178" si="88">IF(J167="","",ROUND(J167/10,0)*10)</f>
        <v/>
      </c>
      <c r="L167" s="16" t="str">
        <f t="shared" si="82"/>
        <v/>
      </c>
      <c r="M167" s="16" t="str">
        <f t="shared" si="83"/>
        <v/>
      </c>
      <c r="N167" s="16" t="str">
        <f t="shared" si="84"/>
        <v/>
      </c>
      <c r="O167" s="15"/>
      <c r="P167" s="16" t="str">
        <f t="shared" si="85"/>
        <v/>
      </c>
      <c r="Q167" s="17" t="str">
        <f t="shared" si="86"/>
        <v/>
      </c>
      <c r="R167" s="14" t="s">
        <v>36</v>
      </c>
      <c r="S167" s="14"/>
    </row>
    <row r="168" spans="1:19" ht="16" x14ac:dyDescent="0.2">
      <c r="A168" s="13" t="s">
        <v>268</v>
      </c>
      <c r="B168" s="14"/>
      <c r="C168" s="14" t="s">
        <v>744</v>
      </c>
      <c r="D168" s="14"/>
      <c r="E168" s="14"/>
      <c r="F168" s="14"/>
      <c r="G168" s="15"/>
      <c r="H168" s="15"/>
      <c r="I168" s="15"/>
      <c r="J168" s="16" t="str">
        <f t="shared" si="87"/>
        <v/>
      </c>
      <c r="K168" s="16" t="str">
        <f t="shared" si="88"/>
        <v/>
      </c>
      <c r="L168" s="16" t="str">
        <f t="shared" si="82"/>
        <v/>
      </c>
      <c r="M168" s="16" t="str">
        <f t="shared" si="83"/>
        <v/>
      </c>
      <c r="N168" s="16" t="str">
        <f t="shared" si="84"/>
        <v/>
      </c>
      <c r="O168" s="15"/>
      <c r="P168" s="16" t="str">
        <f t="shared" si="85"/>
        <v/>
      </c>
      <c r="Q168" s="17" t="str">
        <f t="shared" si="86"/>
        <v/>
      </c>
      <c r="R168" s="14" t="s">
        <v>36</v>
      </c>
      <c r="S168" s="14"/>
    </row>
    <row r="169" spans="1:19" ht="16" x14ac:dyDescent="0.2">
      <c r="A169" s="13" t="s">
        <v>269</v>
      </c>
      <c r="B169" s="14"/>
      <c r="C169" s="14" t="s">
        <v>745</v>
      </c>
      <c r="D169" s="14"/>
      <c r="E169" s="14"/>
      <c r="F169" s="14"/>
      <c r="G169" s="15"/>
      <c r="H169" s="15"/>
      <c r="I169" s="15"/>
      <c r="J169" s="16" t="str">
        <f t="shared" si="87"/>
        <v/>
      </c>
      <c r="K169" s="16" t="str">
        <f t="shared" si="88"/>
        <v/>
      </c>
      <c r="L169" s="16" t="str">
        <f t="shared" si="82"/>
        <v/>
      </c>
      <c r="M169" s="16" t="str">
        <f t="shared" si="83"/>
        <v/>
      </c>
      <c r="N169" s="16" t="str">
        <f t="shared" si="84"/>
        <v/>
      </c>
      <c r="O169" s="15"/>
      <c r="P169" s="16" t="str">
        <f t="shared" si="85"/>
        <v/>
      </c>
      <c r="Q169" s="17" t="str">
        <f t="shared" si="86"/>
        <v/>
      </c>
      <c r="R169" s="14" t="s">
        <v>36</v>
      </c>
      <c r="S169" s="14"/>
    </row>
    <row r="170" spans="1:19" ht="16" x14ac:dyDescent="0.2">
      <c r="A170" s="13" t="s">
        <v>270</v>
      </c>
      <c r="B170" s="14"/>
      <c r="C170" s="14" t="s">
        <v>746</v>
      </c>
      <c r="D170" s="14"/>
      <c r="E170" s="14"/>
      <c r="F170" s="14"/>
      <c r="G170" s="15"/>
      <c r="H170" s="15"/>
      <c r="I170" s="15"/>
      <c r="J170" s="16" t="str">
        <f t="shared" si="87"/>
        <v/>
      </c>
      <c r="K170" s="16" t="str">
        <f t="shared" si="88"/>
        <v/>
      </c>
      <c r="L170" s="16" t="str">
        <f t="shared" si="82"/>
        <v/>
      </c>
      <c r="M170" s="16" t="str">
        <f t="shared" si="83"/>
        <v/>
      </c>
      <c r="N170" s="16" t="str">
        <f t="shared" si="84"/>
        <v/>
      </c>
      <c r="O170" s="15"/>
      <c r="P170" s="16" t="str">
        <f t="shared" si="85"/>
        <v/>
      </c>
      <c r="Q170" s="17" t="str">
        <f t="shared" si="86"/>
        <v/>
      </c>
      <c r="R170" s="14" t="s">
        <v>36</v>
      </c>
      <c r="S170" s="14"/>
    </row>
    <row r="171" spans="1:19" ht="16" x14ac:dyDescent="0.2">
      <c r="A171" s="13" t="s">
        <v>271</v>
      </c>
      <c r="B171" s="14"/>
      <c r="C171" s="14" t="s">
        <v>747</v>
      </c>
      <c r="D171" s="14"/>
      <c r="E171" s="14"/>
      <c r="F171" s="14"/>
      <c r="G171" s="15"/>
      <c r="H171" s="15"/>
      <c r="I171" s="15"/>
      <c r="J171" s="16" t="str">
        <f t="shared" si="87"/>
        <v/>
      </c>
      <c r="K171" s="16" t="str">
        <f t="shared" si="88"/>
        <v/>
      </c>
      <c r="L171" s="16" t="str">
        <f t="shared" si="82"/>
        <v/>
      </c>
      <c r="M171" s="16" t="str">
        <f t="shared" si="83"/>
        <v/>
      </c>
      <c r="N171" s="16" t="str">
        <f t="shared" si="84"/>
        <v/>
      </c>
      <c r="O171" s="15"/>
      <c r="P171" s="16" t="str">
        <f t="shared" si="85"/>
        <v/>
      </c>
      <c r="Q171" s="17" t="str">
        <f t="shared" si="86"/>
        <v/>
      </c>
      <c r="R171" s="14" t="s">
        <v>36</v>
      </c>
      <c r="S171" s="14"/>
    </row>
    <row r="172" spans="1:19" ht="16" x14ac:dyDescent="0.2">
      <c r="A172" s="13" t="s">
        <v>272</v>
      </c>
      <c r="B172" s="14"/>
      <c r="C172" s="14" t="s">
        <v>748</v>
      </c>
      <c r="D172" s="14"/>
      <c r="E172" s="14"/>
      <c r="F172" s="14"/>
      <c r="G172" s="15"/>
      <c r="H172" s="15"/>
      <c r="I172" s="15"/>
      <c r="J172" s="16" t="str">
        <f t="shared" si="87"/>
        <v/>
      </c>
      <c r="K172" s="16" t="str">
        <f t="shared" si="88"/>
        <v/>
      </c>
      <c r="L172" s="16" t="str">
        <f t="shared" si="82"/>
        <v/>
      </c>
      <c r="M172" s="16" t="str">
        <f t="shared" si="83"/>
        <v/>
      </c>
      <c r="N172" s="16" t="str">
        <f t="shared" si="84"/>
        <v/>
      </c>
      <c r="O172" s="15"/>
      <c r="P172" s="16" t="str">
        <f t="shared" si="85"/>
        <v/>
      </c>
      <c r="Q172" s="17" t="str">
        <f t="shared" si="86"/>
        <v/>
      </c>
      <c r="R172" s="14" t="s">
        <v>36</v>
      </c>
      <c r="S172" s="14"/>
    </row>
    <row r="173" spans="1:19" ht="16" x14ac:dyDescent="0.2">
      <c r="A173" s="13" t="s">
        <v>273</v>
      </c>
      <c r="B173" s="14"/>
      <c r="C173" s="14" t="s">
        <v>749</v>
      </c>
      <c r="D173" s="14"/>
      <c r="E173" s="14"/>
      <c r="F173" s="14"/>
      <c r="G173" s="15"/>
      <c r="H173" s="15"/>
      <c r="I173" s="15"/>
      <c r="J173" s="16" t="str">
        <f t="shared" si="87"/>
        <v/>
      </c>
      <c r="K173" s="16" t="str">
        <f t="shared" si="88"/>
        <v/>
      </c>
      <c r="L173" s="16" t="str">
        <f t="shared" si="82"/>
        <v/>
      </c>
      <c r="M173" s="16" t="str">
        <f t="shared" si="83"/>
        <v/>
      </c>
      <c r="N173" s="16" t="str">
        <f t="shared" si="84"/>
        <v/>
      </c>
      <c r="O173" s="15"/>
      <c r="P173" s="16" t="str">
        <f t="shared" si="85"/>
        <v/>
      </c>
      <c r="Q173" s="17" t="str">
        <f t="shared" si="86"/>
        <v/>
      </c>
      <c r="R173" s="14" t="s">
        <v>36</v>
      </c>
      <c r="S173" s="14"/>
    </row>
    <row r="174" spans="1:19" ht="16" x14ac:dyDescent="0.2">
      <c r="A174" s="13" t="s">
        <v>274</v>
      </c>
      <c r="B174" s="14"/>
      <c r="C174" s="14" t="s">
        <v>750</v>
      </c>
      <c r="D174" s="14"/>
      <c r="E174" s="14"/>
      <c r="F174" s="14"/>
      <c r="G174" s="15"/>
      <c r="H174" s="15"/>
      <c r="I174" s="15"/>
      <c r="J174" s="16" t="str">
        <f t="shared" si="87"/>
        <v/>
      </c>
      <c r="K174" s="16" t="str">
        <f t="shared" si="88"/>
        <v/>
      </c>
      <c r="L174" s="16" t="str">
        <f t="shared" si="82"/>
        <v/>
      </c>
      <c r="M174" s="16" t="str">
        <f t="shared" si="83"/>
        <v/>
      </c>
      <c r="N174" s="16" t="str">
        <f t="shared" si="84"/>
        <v/>
      </c>
      <c r="O174" s="15"/>
      <c r="P174" s="16" t="str">
        <f t="shared" si="85"/>
        <v/>
      </c>
      <c r="Q174" s="17" t="str">
        <f t="shared" si="86"/>
        <v/>
      </c>
      <c r="R174" s="14" t="s">
        <v>36</v>
      </c>
      <c r="S174" s="14"/>
    </row>
    <row r="175" spans="1:19" ht="16" x14ac:dyDescent="0.2">
      <c r="A175" s="13" t="s">
        <v>275</v>
      </c>
      <c r="B175" s="14"/>
      <c r="C175" s="14" t="s">
        <v>751</v>
      </c>
      <c r="D175" s="14"/>
      <c r="E175" s="14"/>
      <c r="F175" s="14"/>
      <c r="G175" s="15"/>
      <c r="H175" s="15"/>
      <c r="I175" s="15"/>
      <c r="J175" s="16" t="str">
        <f t="shared" si="87"/>
        <v/>
      </c>
      <c r="K175" s="16" t="str">
        <f t="shared" si="88"/>
        <v/>
      </c>
      <c r="L175" s="16" t="str">
        <f t="shared" si="82"/>
        <v/>
      </c>
      <c r="M175" s="16" t="str">
        <f t="shared" si="83"/>
        <v/>
      </c>
      <c r="N175" s="16" t="str">
        <f t="shared" si="84"/>
        <v/>
      </c>
      <c r="O175" s="15"/>
      <c r="P175" s="16" t="str">
        <f t="shared" si="85"/>
        <v/>
      </c>
      <c r="Q175" s="17" t="str">
        <f t="shared" si="86"/>
        <v/>
      </c>
      <c r="R175" s="14" t="s">
        <v>36</v>
      </c>
      <c r="S175" s="14"/>
    </row>
    <row r="176" spans="1:19" ht="16" x14ac:dyDescent="0.2">
      <c r="A176" s="13" t="s">
        <v>276</v>
      </c>
      <c r="B176" s="14"/>
      <c r="C176" s="14" t="s">
        <v>752</v>
      </c>
      <c r="D176" s="14"/>
      <c r="E176" s="14"/>
      <c r="F176" s="14"/>
      <c r="G176" s="15"/>
      <c r="H176" s="15"/>
      <c r="I176" s="15"/>
      <c r="J176" s="16" t="str">
        <f t="shared" si="87"/>
        <v/>
      </c>
      <c r="K176" s="16" t="str">
        <f t="shared" si="88"/>
        <v/>
      </c>
      <c r="L176" s="16" t="str">
        <f>IF(K176="","",ROUND(K176*95%/10,0)*10)</f>
        <v/>
      </c>
      <c r="M176" s="16" t="str">
        <f>IF(K176="","",ROUND(K176*92%/10,0)*10)</f>
        <v/>
      </c>
      <c r="N176" s="16" t="str">
        <f>IF(K176="","",ROUND(K176*88%/10,0)*10)</f>
        <v/>
      </c>
      <c r="O176" s="15"/>
      <c r="P176" s="16" t="str">
        <f>IF(OR(K176="",O176=""),"",K176-O176)</f>
        <v/>
      </c>
      <c r="Q176" s="17" t="str">
        <f>IF(OR(K176="",O176="",K176=0),"",P176/K176)</f>
        <v/>
      </c>
      <c r="R176" s="14" t="s">
        <v>36</v>
      </c>
      <c r="S176" s="14"/>
    </row>
    <row r="177" spans="1:19" ht="16" x14ac:dyDescent="0.2">
      <c r="A177" s="13" t="s">
        <v>277</v>
      </c>
      <c r="B177" s="14"/>
      <c r="C177" s="14" t="s">
        <v>753</v>
      </c>
      <c r="D177" s="14"/>
      <c r="E177" s="14"/>
      <c r="F177" s="14"/>
      <c r="G177" s="15"/>
      <c r="H177" s="15"/>
      <c r="I177" s="15"/>
      <c r="J177" s="16" t="str">
        <f t="shared" si="87"/>
        <v/>
      </c>
      <c r="K177" s="16" t="str">
        <f t="shared" si="88"/>
        <v/>
      </c>
      <c r="L177" s="16" t="str">
        <f t="shared" si="82"/>
        <v/>
      </c>
      <c r="M177" s="16" t="str">
        <f t="shared" ref="M177:M184" si="89">IF(K177="","",ROUND(K177*92%/10,0)*10)</f>
        <v/>
      </c>
      <c r="N177" s="16" t="str">
        <f t="shared" ref="N177:N184" si="90">IF(K177="","",ROUND(K177*88%/10,0)*10)</f>
        <v/>
      </c>
      <c r="O177" s="15"/>
      <c r="P177" s="16" t="str">
        <f t="shared" ref="P177:P184" si="91">IF(OR(K177="",O177=""),"",K177-O177)</f>
        <v/>
      </c>
      <c r="Q177" s="17" t="str">
        <f t="shared" ref="Q177:Q184" si="92">IF(OR(K177="",O177="",K177=0),"",P177/K177)</f>
        <v/>
      </c>
      <c r="R177" s="14" t="s">
        <v>36</v>
      </c>
      <c r="S177" s="14"/>
    </row>
    <row r="178" spans="1:19" ht="16" x14ac:dyDescent="0.2">
      <c r="A178" s="13" t="s">
        <v>278</v>
      </c>
      <c r="B178" s="14"/>
      <c r="C178" s="14" t="s">
        <v>754</v>
      </c>
      <c r="D178" s="14"/>
      <c r="E178" s="14"/>
      <c r="F178" s="14"/>
      <c r="G178" s="15"/>
      <c r="H178" s="15"/>
      <c r="I178" s="15"/>
      <c r="J178" s="16" t="str">
        <f t="shared" si="87"/>
        <v/>
      </c>
      <c r="K178" s="16" t="str">
        <f t="shared" si="88"/>
        <v/>
      </c>
      <c r="L178" s="16" t="str">
        <f t="shared" si="82"/>
        <v/>
      </c>
      <c r="M178" s="16" t="str">
        <f t="shared" si="89"/>
        <v/>
      </c>
      <c r="N178" s="16" t="str">
        <f t="shared" si="90"/>
        <v/>
      </c>
      <c r="O178" s="15"/>
      <c r="P178" s="16" t="str">
        <f t="shared" si="91"/>
        <v/>
      </c>
      <c r="Q178" s="17" t="str">
        <f t="shared" si="92"/>
        <v/>
      </c>
      <c r="R178" s="14" t="s">
        <v>36</v>
      </c>
      <c r="S178" s="14"/>
    </row>
    <row r="179" spans="1:19" ht="16" x14ac:dyDescent="0.2">
      <c r="A179" s="13" t="s">
        <v>279</v>
      </c>
      <c r="B179" s="14"/>
      <c r="C179" s="14" t="s">
        <v>755</v>
      </c>
      <c r="D179" s="14"/>
      <c r="E179" s="14"/>
      <c r="F179" s="14"/>
      <c r="G179" s="15"/>
      <c r="H179" s="15"/>
      <c r="I179" s="15"/>
      <c r="J179" s="16" t="str">
        <f>IF(COUNT(G179:I179)=0,"",ROUND(AVERAGE(G179:I179),0))</f>
        <v/>
      </c>
      <c r="K179" s="16" t="str">
        <f>IF(J179="","",ROUND(J179/10,0)*10)</f>
        <v/>
      </c>
      <c r="L179" s="16" t="str">
        <f t="shared" si="82"/>
        <v/>
      </c>
      <c r="M179" s="16" t="str">
        <f t="shared" si="89"/>
        <v/>
      </c>
      <c r="N179" s="16" t="str">
        <f t="shared" si="90"/>
        <v/>
      </c>
      <c r="O179" s="15"/>
      <c r="P179" s="16" t="str">
        <f t="shared" si="91"/>
        <v/>
      </c>
      <c r="Q179" s="17" t="str">
        <f t="shared" si="92"/>
        <v/>
      </c>
      <c r="R179" s="14" t="s">
        <v>36</v>
      </c>
      <c r="S179" s="14"/>
    </row>
    <row r="180" spans="1:19" ht="16" x14ac:dyDescent="0.2">
      <c r="A180" s="13" t="s">
        <v>280</v>
      </c>
      <c r="B180" s="14"/>
      <c r="C180" s="14" t="s">
        <v>756</v>
      </c>
      <c r="D180" s="14"/>
      <c r="E180" s="14"/>
      <c r="F180" s="14"/>
      <c r="G180" s="15"/>
      <c r="H180" s="15"/>
      <c r="I180" s="15"/>
      <c r="J180" s="16" t="str">
        <f t="shared" ref="J180:J184" si="93">IF(COUNT(G180:I180)=0,"",ROUND(AVERAGE(G180:I180),0))</f>
        <v/>
      </c>
      <c r="K180" s="16" t="str">
        <f t="shared" ref="K180:K184" si="94">IF(J180="","",ROUND(J180/10,0)*10)</f>
        <v/>
      </c>
      <c r="L180" s="16" t="str">
        <f t="shared" si="82"/>
        <v/>
      </c>
      <c r="M180" s="16" t="str">
        <f t="shared" si="89"/>
        <v/>
      </c>
      <c r="N180" s="16" t="str">
        <f t="shared" si="90"/>
        <v/>
      </c>
      <c r="O180" s="15"/>
      <c r="P180" s="16" t="str">
        <f t="shared" si="91"/>
        <v/>
      </c>
      <c r="Q180" s="17" t="str">
        <f t="shared" si="92"/>
        <v/>
      </c>
      <c r="R180" s="14" t="s">
        <v>36</v>
      </c>
      <c r="S180" s="14"/>
    </row>
    <row r="181" spans="1:19" ht="16" x14ac:dyDescent="0.2">
      <c r="A181" s="13" t="s">
        <v>281</v>
      </c>
      <c r="B181" s="14"/>
      <c r="C181" s="14"/>
      <c r="D181" s="14"/>
      <c r="E181" s="14"/>
      <c r="F181" s="14"/>
      <c r="G181" s="15"/>
      <c r="H181" s="15"/>
      <c r="I181" s="15"/>
      <c r="J181" s="16" t="str">
        <f t="shared" si="93"/>
        <v/>
      </c>
      <c r="K181" s="16" t="str">
        <f t="shared" si="94"/>
        <v/>
      </c>
      <c r="L181" s="16" t="str">
        <f t="shared" si="82"/>
        <v/>
      </c>
      <c r="M181" s="16" t="str">
        <f t="shared" si="89"/>
        <v/>
      </c>
      <c r="N181" s="16" t="str">
        <f t="shared" si="90"/>
        <v/>
      </c>
      <c r="O181" s="15"/>
      <c r="P181" s="16" t="str">
        <f t="shared" si="91"/>
        <v/>
      </c>
      <c r="Q181" s="17" t="str">
        <f t="shared" si="92"/>
        <v/>
      </c>
      <c r="R181" s="14" t="s">
        <v>36</v>
      </c>
      <c r="S181" s="14"/>
    </row>
    <row r="182" spans="1:19" ht="16" x14ac:dyDescent="0.2">
      <c r="A182" s="13" t="s">
        <v>282</v>
      </c>
      <c r="B182" s="14"/>
      <c r="C182" s="14"/>
      <c r="D182" s="14"/>
      <c r="E182" s="14"/>
      <c r="F182" s="14"/>
      <c r="G182" s="15"/>
      <c r="H182" s="15"/>
      <c r="I182" s="15"/>
      <c r="J182" s="16" t="str">
        <f t="shared" si="93"/>
        <v/>
      </c>
      <c r="K182" s="16" t="str">
        <f t="shared" si="94"/>
        <v/>
      </c>
      <c r="L182" s="16" t="str">
        <f t="shared" si="82"/>
        <v/>
      </c>
      <c r="M182" s="16" t="str">
        <f t="shared" si="89"/>
        <v/>
      </c>
      <c r="N182" s="16" t="str">
        <f t="shared" si="90"/>
        <v/>
      </c>
      <c r="O182" s="15"/>
      <c r="P182" s="16" t="str">
        <f t="shared" si="91"/>
        <v/>
      </c>
      <c r="Q182" s="17" t="str">
        <f t="shared" si="92"/>
        <v/>
      </c>
      <c r="R182" s="14" t="s">
        <v>36</v>
      </c>
      <c r="S182" s="14"/>
    </row>
    <row r="183" spans="1:19" ht="16" x14ac:dyDescent="0.2">
      <c r="A183" s="13" t="s">
        <v>283</v>
      </c>
      <c r="B183" s="14"/>
      <c r="C183" s="14"/>
      <c r="D183" s="14"/>
      <c r="E183" s="14"/>
      <c r="F183" s="14"/>
      <c r="G183" s="15"/>
      <c r="H183" s="15"/>
      <c r="I183" s="15"/>
      <c r="J183" s="16" t="str">
        <f t="shared" si="93"/>
        <v/>
      </c>
      <c r="K183" s="16" t="str">
        <f t="shared" si="94"/>
        <v/>
      </c>
      <c r="L183" s="16" t="str">
        <f t="shared" si="82"/>
        <v/>
      </c>
      <c r="M183" s="16" t="str">
        <f t="shared" si="89"/>
        <v/>
      </c>
      <c r="N183" s="16" t="str">
        <f t="shared" si="90"/>
        <v/>
      </c>
      <c r="O183" s="15"/>
      <c r="P183" s="16" t="str">
        <f t="shared" si="91"/>
        <v/>
      </c>
      <c r="Q183" s="17" t="str">
        <f t="shared" si="92"/>
        <v/>
      </c>
      <c r="R183" s="14" t="s">
        <v>36</v>
      </c>
      <c r="S183" s="14"/>
    </row>
    <row r="184" spans="1:19" ht="16" x14ac:dyDescent="0.2">
      <c r="A184" s="13" t="s">
        <v>284</v>
      </c>
      <c r="B184" s="14"/>
      <c r="C184" s="14"/>
      <c r="D184" s="14"/>
      <c r="E184" s="14"/>
      <c r="F184" s="14"/>
      <c r="G184" s="15"/>
      <c r="H184" s="15"/>
      <c r="I184" s="15"/>
      <c r="J184" s="16" t="str">
        <f t="shared" si="93"/>
        <v/>
      </c>
      <c r="K184" s="16" t="str">
        <f t="shared" si="94"/>
        <v/>
      </c>
      <c r="L184" s="16" t="str">
        <f t="shared" si="82"/>
        <v/>
      </c>
      <c r="M184" s="16" t="str">
        <f t="shared" si="89"/>
        <v/>
      </c>
      <c r="N184" s="16" t="str">
        <f t="shared" si="90"/>
        <v/>
      </c>
      <c r="O184" s="15"/>
      <c r="P184" s="16" t="str">
        <f t="shared" si="91"/>
        <v/>
      </c>
      <c r="Q184" s="17" t="str">
        <f t="shared" si="92"/>
        <v/>
      </c>
      <c r="R184" s="14" t="s">
        <v>36</v>
      </c>
      <c r="S184" s="14"/>
    </row>
    <row r="185" spans="1:19" ht="16" x14ac:dyDescent="0.2">
      <c r="A185" s="1" t="s">
        <v>285</v>
      </c>
      <c r="B185" s="9"/>
      <c r="C185" s="9"/>
      <c r="D185" s="9"/>
      <c r="E185" s="9"/>
      <c r="F185" s="9"/>
      <c r="G185" s="10"/>
      <c r="H185" s="10"/>
      <c r="I185" s="10"/>
      <c r="J185" s="7" t="str">
        <f t="shared" ref="J185:J193" si="95">IF(COUNT(G185:I185)=0,"",ROUND(AVERAGE(G185:I185),0))</f>
        <v/>
      </c>
      <c r="K185" s="7" t="str">
        <f t="shared" ref="K185:K193" si="96">IF(J185="","",ROUND(J185/10,0)*10)</f>
        <v/>
      </c>
      <c r="L185" s="7" t="str">
        <f t="shared" ref="L185:L193" si="97">IF(K185="","",ROUND(K185*0.95/10,0)*10)</f>
        <v/>
      </c>
      <c r="M185" s="7" t="str">
        <f t="shared" ref="M185:M193" si="98">IF(K185="","",ROUND(K185*0.92/10,0)*10)</f>
        <v/>
      </c>
      <c r="N185" s="7" t="str">
        <f t="shared" ref="N185:N193" si="99">IF(K185="","",ROUND(K185*0.88/10,0)*10)</f>
        <v/>
      </c>
      <c r="O185" s="10"/>
      <c r="P185" s="7" t="str">
        <f t="shared" ref="P185:P193" si="100">IF(OR(K185="",O185=""),"",K185-O185)</f>
        <v/>
      </c>
      <c r="Q185" s="2" t="str">
        <f t="shared" ref="Q185:Q193" si="101">IF(OR(K185="",O185="",K185=0),"",P185/K185)</f>
        <v/>
      </c>
      <c r="R185" s="9" t="s">
        <v>36</v>
      </c>
      <c r="S185" s="9"/>
    </row>
    <row r="186" spans="1:19" ht="16" x14ac:dyDescent="0.2">
      <c r="A186" s="1" t="s">
        <v>286</v>
      </c>
      <c r="B186" s="9"/>
      <c r="C186" s="9"/>
      <c r="D186" s="9"/>
      <c r="E186" s="9"/>
      <c r="F186" s="9"/>
      <c r="G186" s="10"/>
      <c r="H186" s="10"/>
      <c r="I186" s="10"/>
      <c r="J186" s="7" t="str">
        <f t="shared" si="95"/>
        <v/>
      </c>
      <c r="K186" s="7" t="str">
        <f t="shared" si="96"/>
        <v/>
      </c>
      <c r="L186" s="7" t="str">
        <f t="shared" si="97"/>
        <v/>
      </c>
      <c r="M186" s="7" t="str">
        <f t="shared" si="98"/>
        <v/>
      </c>
      <c r="N186" s="7" t="str">
        <f t="shared" si="99"/>
        <v/>
      </c>
      <c r="O186" s="10"/>
      <c r="P186" s="7" t="str">
        <f t="shared" si="100"/>
        <v/>
      </c>
      <c r="Q186" s="2" t="str">
        <f t="shared" si="101"/>
        <v/>
      </c>
      <c r="R186" s="9" t="s">
        <v>36</v>
      </c>
      <c r="S186" s="9"/>
    </row>
    <row r="187" spans="1:19" ht="16" x14ac:dyDescent="0.2">
      <c r="A187" s="1" t="s">
        <v>287</v>
      </c>
      <c r="B187" s="9"/>
      <c r="C187" s="9"/>
      <c r="D187" s="9"/>
      <c r="E187" s="9"/>
      <c r="F187" s="9"/>
      <c r="G187" s="10"/>
      <c r="H187" s="10"/>
      <c r="I187" s="10"/>
      <c r="J187" s="7" t="str">
        <f t="shared" si="95"/>
        <v/>
      </c>
      <c r="K187" s="7" t="str">
        <f t="shared" si="96"/>
        <v/>
      </c>
      <c r="L187" s="7" t="str">
        <f t="shared" si="97"/>
        <v/>
      </c>
      <c r="M187" s="7" t="str">
        <f t="shared" si="98"/>
        <v/>
      </c>
      <c r="N187" s="7" t="str">
        <f t="shared" si="99"/>
        <v/>
      </c>
      <c r="O187" s="10"/>
      <c r="P187" s="7" t="str">
        <f t="shared" si="100"/>
        <v/>
      </c>
      <c r="Q187" s="2" t="str">
        <f t="shared" si="101"/>
        <v/>
      </c>
      <c r="R187" s="9" t="s">
        <v>36</v>
      </c>
      <c r="S187" s="9"/>
    </row>
    <row r="188" spans="1:19" ht="16" x14ac:dyDescent="0.2">
      <c r="A188" s="1" t="s">
        <v>288</v>
      </c>
      <c r="B188" s="9"/>
      <c r="C188" s="9"/>
      <c r="D188" s="9"/>
      <c r="E188" s="9"/>
      <c r="F188" s="9"/>
      <c r="G188" s="10"/>
      <c r="H188" s="10"/>
      <c r="I188" s="10"/>
      <c r="J188" s="7" t="str">
        <f t="shared" si="95"/>
        <v/>
      </c>
      <c r="K188" s="7" t="str">
        <f t="shared" si="96"/>
        <v/>
      </c>
      <c r="L188" s="7" t="str">
        <f t="shared" si="97"/>
        <v/>
      </c>
      <c r="M188" s="7" t="str">
        <f t="shared" si="98"/>
        <v/>
      </c>
      <c r="N188" s="7" t="str">
        <f t="shared" si="99"/>
        <v/>
      </c>
      <c r="O188" s="10"/>
      <c r="P188" s="7" t="str">
        <f t="shared" si="100"/>
        <v/>
      </c>
      <c r="Q188" s="2" t="str">
        <f t="shared" si="101"/>
        <v/>
      </c>
      <c r="R188" s="9" t="s">
        <v>36</v>
      </c>
      <c r="S188" s="9"/>
    </row>
    <row r="189" spans="1:19" ht="16" x14ac:dyDescent="0.2">
      <c r="A189" s="1" t="s">
        <v>289</v>
      </c>
      <c r="B189" s="9"/>
      <c r="C189" s="9"/>
      <c r="D189" s="9"/>
      <c r="E189" s="9"/>
      <c r="F189" s="9"/>
      <c r="G189" s="10"/>
      <c r="H189" s="10"/>
      <c r="I189" s="10"/>
      <c r="J189" s="7" t="str">
        <f t="shared" si="95"/>
        <v/>
      </c>
      <c r="K189" s="7" t="str">
        <f t="shared" si="96"/>
        <v/>
      </c>
      <c r="L189" s="7" t="str">
        <f t="shared" si="97"/>
        <v/>
      </c>
      <c r="M189" s="7" t="str">
        <f t="shared" si="98"/>
        <v/>
      </c>
      <c r="N189" s="7" t="str">
        <f t="shared" si="99"/>
        <v/>
      </c>
      <c r="O189" s="10"/>
      <c r="P189" s="7" t="str">
        <f t="shared" si="100"/>
        <v/>
      </c>
      <c r="Q189" s="2" t="str">
        <f t="shared" si="101"/>
        <v/>
      </c>
      <c r="R189" s="9" t="s">
        <v>36</v>
      </c>
      <c r="S189" s="9"/>
    </row>
    <row r="190" spans="1:19" ht="16" x14ac:dyDescent="0.2">
      <c r="A190" s="1" t="s">
        <v>290</v>
      </c>
      <c r="B190" s="9"/>
      <c r="C190" s="9"/>
      <c r="D190" s="9"/>
      <c r="E190" s="9"/>
      <c r="F190" s="9"/>
      <c r="G190" s="10"/>
      <c r="H190" s="10"/>
      <c r="I190" s="10"/>
      <c r="J190" s="7" t="str">
        <f t="shared" si="95"/>
        <v/>
      </c>
      <c r="K190" s="7" t="str">
        <f t="shared" si="96"/>
        <v/>
      </c>
      <c r="L190" s="7" t="str">
        <f t="shared" si="97"/>
        <v/>
      </c>
      <c r="M190" s="7" t="str">
        <f t="shared" si="98"/>
        <v/>
      </c>
      <c r="N190" s="7" t="str">
        <f t="shared" si="99"/>
        <v/>
      </c>
      <c r="O190" s="10"/>
      <c r="P190" s="7" t="str">
        <f t="shared" si="100"/>
        <v/>
      </c>
      <c r="Q190" s="2" t="str">
        <f t="shared" si="101"/>
        <v/>
      </c>
      <c r="R190" s="9" t="s">
        <v>36</v>
      </c>
      <c r="S190" s="9"/>
    </row>
    <row r="191" spans="1:19" ht="16" x14ac:dyDescent="0.2">
      <c r="A191" s="1" t="s">
        <v>291</v>
      </c>
      <c r="B191" s="9"/>
      <c r="C191" s="9"/>
      <c r="D191" s="9"/>
      <c r="E191" s="9"/>
      <c r="F191" s="9"/>
      <c r="G191" s="10"/>
      <c r="H191" s="10"/>
      <c r="I191" s="10"/>
      <c r="J191" s="7" t="str">
        <f t="shared" si="95"/>
        <v/>
      </c>
      <c r="K191" s="7" t="str">
        <f t="shared" si="96"/>
        <v/>
      </c>
      <c r="L191" s="7" t="str">
        <f t="shared" si="97"/>
        <v/>
      </c>
      <c r="M191" s="7" t="str">
        <f t="shared" si="98"/>
        <v/>
      </c>
      <c r="N191" s="7" t="str">
        <f t="shared" si="99"/>
        <v/>
      </c>
      <c r="O191" s="10"/>
      <c r="P191" s="7" t="str">
        <f t="shared" si="100"/>
        <v/>
      </c>
      <c r="Q191" s="2" t="str">
        <f t="shared" si="101"/>
        <v/>
      </c>
      <c r="R191" s="9" t="s">
        <v>36</v>
      </c>
      <c r="S191" s="9"/>
    </row>
    <row r="192" spans="1:19" ht="16" x14ac:dyDescent="0.2">
      <c r="A192" s="1" t="s">
        <v>292</v>
      </c>
      <c r="B192" s="9"/>
      <c r="C192" s="9"/>
      <c r="D192" s="9"/>
      <c r="E192" s="9"/>
      <c r="F192" s="9"/>
      <c r="G192" s="10"/>
      <c r="H192" s="10"/>
      <c r="I192" s="10"/>
      <c r="J192" s="7" t="str">
        <f t="shared" si="95"/>
        <v/>
      </c>
      <c r="K192" s="7" t="str">
        <f t="shared" si="96"/>
        <v/>
      </c>
      <c r="L192" s="7" t="str">
        <f t="shared" si="97"/>
        <v/>
      </c>
      <c r="M192" s="7" t="str">
        <f t="shared" si="98"/>
        <v/>
      </c>
      <c r="N192" s="7" t="str">
        <f t="shared" si="99"/>
        <v/>
      </c>
      <c r="O192" s="10"/>
      <c r="P192" s="7" t="str">
        <f t="shared" si="100"/>
        <v/>
      </c>
      <c r="Q192" s="2" t="str">
        <f t="shared" si="101"/>
        <v/>
      </c>
      <c r="R192" s="9" t="s">
        <v>36</v>
      </c>
      <c r="S192" s="9"/>
    </row>
    <row r="193" spans="1:19" ht="16" x14ac:dyDescent="0.2">
      <c r="A193" s="1" t="s">
        <v>293</v>
      </c>
      <c r="B193" s="9"/>
      <c r="C193" s="9"/>
      <c r="D193" s="9"/>
      <c r="E193" s="9"/>
      <c r="F193" s="9"/>
      <c r="G193" s="10"/>
      <c r="H193" s="10"/>
      <c r="I193" s="10"/>
      <c r="J193" s="7" t="str">
        <f t="shared" si="95"/>
        <v/>
      </c>
      <c r="K193" s="7" t="str">
        <f t="shared" si="96"/>
        <v/>
      </c>
      <c r="L193" s="7" t="str">
        <f t="shared" si="97"/>
        <v/>
      </c>
      <c r="M193" s="7" t="str">
        <f t="shared" si="98"/>
        <v/>
      </c>
      <c r="N193" s="7" t="str">
        <f t="shared" si="99"/>
        <v/>
      </c>
      <c r="O193" s="10"/>
      <c r="P193" s="7" t="str">
        <f t="shared" si="100"/>
        <v/>
      </c>
      <c r="Q193" s="2" t="str">
        <f t="shared" si="101"/>
        <v/>
      </c>
      <c r="R193" s="9" t="s">
        <v>36</v>
      </c>
      <c r="S193" s="9"/>
    </row>
    <row r="194" spans="1:19" ht="16" x14ac:dyDescent="0.2">
      <c r="A194" s="1" t="s">
        <v>294</v>
      </c>
      <c r="B194" s="9"/>
      <c r="C194" s="9"/>
      <c r="D194" s="9"/>
      <c r="E194" s="9"/>
      <c r="F194" s="9"/>
      <c r="G194" s="10"/>
      <c r="H194" s="10"/>
      <c r="I194" s="10"/>
      <c r="J194" s="7" t="str">
        <f t="shared" ref="J194:J257" si="102">IF(COUNT(G194:I194)=0,"",ROUND(AVERAGE(G194:I194),0))</f>
        <v/>
      </c>
      <c r="K194" s="7" t="str">
        <f t="shared" ref="K194:K257" si="103">IF(J194="","",ROUND(J194/10,0)*10)</f>
        <v/>
      </c>
      <c r="L194" s="7" t="str">
        <f t="shared" ref="L194:L257" si="104">IF(K194="","",ROUND(K194*0.95/10,0)*10)</f>
        <v/>
      </c>
      <c r="M194" s="7" t="str">
        <f t="shared" ref="M194:M257" si="105">IF(K194="","",ROUND(K194*0.92/10,0)*10)</f>
        <v/>
      </c>
      <c r="N194" s="7" t="str">
        <f t="shared" ref="N194:N257" si="106">IF(K194="","",ROUND(K194*0.88/10,0)*10)</f>
        <v/>
      </c>
      <c r="O194" s="10"/>
      <c r="P194" s="7" t="str">
        <f t="shared" ref="P194:P257" si="107">IF(OR(K194="",O194=""),"",K194-O194)</f>
        <v/>
      </c>
      <c r="Q194" s="2" t="str">
        <f t="shared" ref="Q194:Q257" si="108">IF(OR(K194="",O194="",K194=0),"",P194/K194)</f>
        <v/>
      </c>
      <c r="R194" s="9" t="s">
        <v>36</v>
      </c>
      <c r="S194" s="9"/>
    </row>
    <row r="195" spans="1:19" ht="16" x14ac:dyDescent="0.2">
      <c r="A195" s="1" t="s">
        <v>295</v>
      </c>
      <c r="B195" s="9"/>
      <c r="C195" s="9"/>
      <c r="D195" s="9"/>
      <c r="E195" s="9"/>
      <c r="F195" s="9"/>
      <c r="G195" s="10"/>
      <c r="H195" s="10"/>
      <c r="I195" s="10"/>
      <c r="J195" s="7" t="str">
        <f t="shared" si="102"/>
        <v/>
      </c>
      <c r="K195" s="7" t="str">
        <f t="shared" si="103"/>
        <v/>
      </c>
      <c r="L195" s="7" t="str">
        <f t="shared" si="104"/>
        <v/>
      </c>
      <c r="M195" s="7" t="str">
        <f t="shared" si="105"/>
        <v/>
      </c>
      <c r="N195" s="7" t="str">
        <f t="shared" si="106"/>
        <v/>
      </c>
      <c r="O195" s="10"/>
      <c r="P195" s="7" t="str">
        <f t="shared" si="107"/>
        <v/>
      </c>
      <c r="Q195" s="2" t="str">
        <f t="shared" si="108"/>
        <v/>
      </c>
      <c r="R195" s="9" t="s">
        <v>36</v>
      </c>
      <c r="S195" s="9"/>
    </row>
    <row r="196" spans="1:19" ht="16" x14ac:dyDescent="0.2">
      <c r="A196" s="1" t="s">
        <v>296</v>
      </c>
      <c r="B196" s="9"/>
      <c r="C196" s="9"/>
      <c r="D196" s="9"/>
      <c r="E196" s="9"/>
      <c r="F196" s="9"/>
      <c r="G196" s="10"/>
      <c r="H196" s="10"/>
      <c r="I196" s="10"/>
      <c r="J196" s="7" t="str">
        <f t="shared" si="102"/>
        <v/>
      </c>
      <c r="K196" s="7" t="str">
        <f t="shared" si="103"/>
        <v/>
      </c>
      <c r="L196" s="7" t="str">
        <f t="shared" si="104"/>
        <v/>
      </c>
      <c r="M196" s="7" t="str">
        <f t="shared" si="105"/>
        <v/>
      </c>
      <c r="N196" s="7" t="str">
        <f t="shared" si="106"/>
        <v/>
      </c>
      <c r="O196" s="10"/>
      <c r="P196" s="7" t="str">
        <f t="shared" si="107"/>
        <v/>
      </c>
      <c r="Q196" s="2" t="str">
        <f t="shared" si="108"/>
        <v/>
      </c>
      <c r="R196" s="9" t="s">
        <v>36</v>
      </c>
      <c r="S196" s="9"/>
    </row>
    <row r="197" spans="1:19" ht="16" x14ac:dyDescent="0.2">
      <c r="A197" s="1" t="s">
        <v>297</v>
      </c>
      <c r="B197" s="9"/>
      <c r="C197" s="9"/>
      <c r="D197" s="9"/>
      <c r="E197" s="9"/>
      <c r="F197" s="9"/>
      <c r="G197" s="10"/>
      <c r="H197" s="10"/>
      <c r="I197" s="10"/>
      <c r="J197" s="7" t="str">
        <f t="shared" si="102"/>
        <v/>
      </c>
      <c r="K197" s="7" t="str">
        <f t="shared" si="103"/>
        <v/>
      </c>
      <c r="L197" s="7" t="str">
        <f t="shared" si="104"/>
        <v/>
      </c>
      <c r="M197" s="7" t="str">
        <f t="shared" si="105"/>
        <v/>
      </c>
      <c r="N197" s="7" t="str">
        <f t="shared" si="106"/>
        <v/>
      </c>
      <c r="O197" s="10"/>
      <c r="P197" s="7" t="str">
        <f t="shared" si="107"/>
        <v/>
      </c>
      <c r="Q197" s="2" t="str">
        <f t="shared" si="108"/>
        <v/>
      </c>
      <c r="R197" s="9" t="s">
        <v>36</v>
      </c>
      <c r="S197" s="9"/>
    </row>
    <row r="198" spans="1:19" ht="16" x14ac:dyDescent="0.2">
      <c r="A198" s="1" t="s">
        <v>298</v>
      </c>
      <c r="B198" s="9"/>
      <c r="C198" s="9"/>
      <c r="D198" s="9"/>
      <c r="E198" s="9"/>
      <c r="F198" s="9"/>
      <c r="G198" s="10"/>
      <c r="H198" s="10"/>
      <c r="I198" s="10"/>
      <c r="J198" s="7" t="str">
        <f t="shared" si="102"/>
        <v/>
      </c>
      <c r="K198" s="7" t="str">
        <f t="shared" si="103"/>
        <v/>
      </c>
      <c r="L198" s="7" t="str">
        <f t="shared" si="104"/>
        <v/>
      </c>
      <c r="M198" s="7" t="str">
        <f t="shared" si="105"/>
        <v/>
      </c>
      <c r="N198" s="7" t="str">
        <f t="shared" si="106"/>
        <v/>
      </c>
      <c r="O198" s="10"/>
      <c r="P198" s="7" t="str">
        <f t="shared" si="107"/>
        <v/>
      </c>
      <c r="Q198" s="2" t="str">
        <f t="shared" si="108"/>
        <v/>
      </c>
      <c r="R198" s="9" t="s">
        <v>36</v>
      </c>
      <c r="S198" s="9"/>
    </row>
    <row r="199" spans="1:19" ht="16" x14ac:dyDescent="0.2">
      <c r="A199" s="1" t="s">
        <v>299</v>
      </c>
      <c r="B199" s="9"/>
      <c r="C199" s="9"/>
      <c r="D199" s="9"/>
      <c r="E199" s="9"/>
      <c r="F199" s="9"/>
      <c r="G199" s="10"/>
      <c r="H199" s="10"/>
      <c r="I199" s="10"/>
      <c r="J199" s="7" t="str">
        <f t="shared" si="102"/>
        <v/>
      </c>
      <c r="K199" s="7" t="str">
        <f t="shared" si="103"/>
        <v/>
      </c>
      <c r="L199" s="7" t="str">
        <f t="shared" si="104"/>
        <v/>
      </c>
      <c r="M199" s="7" t="str">
        <f t="shared" si="105"/>
        <v/>
      </c>
      <c r="N199" s="7" t="str">
        <f t="shared" si="106"/>
        <v/>
      </c>
      <c r="O199" s="10"/>
      <c r="P199" s="7" t="str">
        <f t="shared" si="107"/>
        <v/>
      </c>
      <c r="Q199" s="2" t="str">
        <f t="shared" si="108"/>
        <v/>
      </c>
      <c r="R199" s="9" t="s">
        <v>36</v>
      </c>
      <c r="S199" s="9"/>
    </row>
    <row r="200" spans="1:19" ht="16" x14ac:dyDescent="0.2">
      <c r="A200" s="1" t="s">
        <v>300</v>
      </c>
      <c r="B200" s="9"/>
      <c r="C200" s="9"/>
      <c r="D200" s="9"/>
      <c r="E200" s="9"/>
      <c r="F200" s="9"/>
      <c r="G200" s="10"/>
      <c r="H200" s="10"/>
      <c r="I200" s="10"/>
      <c r="J200" s="7" t="str">
        <f t="shared" si="102"/>
        <v/>
      </c>
      <c r="K200" s="7" t="str">
        <f t="shared" si="103"/>
        <v/>
      </c>
      <c r="L200" s="7" t="str">
        <f t="shared" si="104"/>
        <v/>
      </c>
      <c r="M200" s="7" t="str">
        <f t="shared" si="105"/>
        <v/>
      </c>
      <c r="N200" s="7" t="str">
        <f t="shared" si="106"/>
        <v/>
      </c>
      <c r="O200" s="10"/>
      <c r="P200" s="7" t="str">
        <f t="shared" si="107"/>
        <v/>
      </c>
      <c r="Q200" s="2" t="str">
        <f t="shared" si="108"/>
        <v/>
      </c>
      <c r="R200" s="9" t="s">
        <v>36</v>
      </c>
      <c r="S200" s="9"/>
    </row>
    <row r="201" spans="1:19" ht="16" x14ac:dyDescent="0.2">
      <c r="A201" s="1" t="s">
        <v>301</v>
      </c>
      <c r="B201" s="9"/>
      <c r="C201" s="9"/>
      <c r="D201" s="9"/>
      <c r="E201" s="9"/>
      <c r="F201" s="9"/>
      <c r="G201" s="10"/>
      <c r="H201" s="10"/>
      <c r="I201" s="10"/>
      <c r="J201" s="7" t="str">
        <f t="shared" si="102"/>
        <v/>
      </c>
      <c r="K201" s="7" t="str">
        <f t="shared" si="103"/>
        <v/>
      </c>
      <c r="L201" s="7" t="str">
        <f t="shared" si="104"/>
        <v/>
      </c>
      <c r="M201" s="7" t="str">
        <f t="shared" si="105"/>
        <v/>
      </c>
      <c r="N201" s="7" t="str">
        <f t="shared" si="106"/>
        <v/>
      </c>
      <c r="O201" s="10"/>
      <c r="P201" s="7" t="str">
        <f t="shared" si="107"/>
        <v/>
      </c>
      <c r="Q201" s="2" t="str">
        <f t="shared" si="108"/>
        <v/>
      </c>
      <c r="R201" s="9" t="s">
        <v>36</v>
      </c>
      <c r="S201" s="9"/>
    </row>
    <row r="202" spans="1:19" ht="16" x14ac:dyDescent="0.2">
      <c r="A202" s="1" t="s">
        <v>302</v>
      </c>
      <c r="B202" s="9"/>
      <c r="C202" s="9"/>
      <c r="D202" s="9"/>
      <c r="E202" s="9"/>
      <c r="F202" s="9"/>
      <c r="G202" s="10"/>
      <c r="H202" s="10"/>
      <c r="I202" s="10"/>
      <c r="J202" s="7" t="str">
        <f t="shared" si="102"/>
        <v/>
      </c>
      <c r="K202" s="7" t="str">
        <f t="shared" si="103"/>
        <v/>
      </c>
      <c r="L202" s="7" t="str">
        <f t="shared" si="104"/>
        <v/>
      </c>
      <c r="M202" s="7" t="str">
        <f t="shared" si="105"/>
        <v/>
      </c>
      <c r="N202" s="7" t="str">
        <f t="shared" si="106"/>
        <v/>
      </c>
      <c r="O202" s="10"/>
      <c r="P202" s="7" t="str">
        <f t="shared" si="107"/>
        <v/>
      </c>
      <c r="Q202" s="2" t="str">
        <f t="shared" si="108"/>
        <v/>
      </c>
      <c r="R202" s="9" t="s">
        <v>36</v>
      </c>
      <c r="S202" s="9"/>
    </row>
    <row r="203" spans="1:19" ht="16" x14ac:dyDescent="0.2">
      <c r="A203" s="1" t="s">
        <v>303</v>
      </c>
      <c r="B203" s="9"/>
      <c r="C203" s="9"/>
      <c r="D203" s="9"/>
      <c r="E203" s="9"/>
      <c r="F203" s="9"/>
      <c r="G203" s="10"/>
      <c r="H203" s="10"/>
      <c r="I203" s="10"/>
      <c r="J203" s="7" t="str">
        <f t="shared" si="102"/>
        <v/>
      </c>
      <c r="K203" s="7" t="str">
        <f t="shared" si="103"/>
        <v/>
      </c>
      <c r="L203" s="7" t="str">
        <f t="shared" si="104"/>
        <v/>
      </c>
      <c r="M203" s="7" t="str">
        <f t="shared" si="105"/>
        <v/>
      </c>
      <c r="N203" s="7" t="str">
        <f t="shared" si="106"/>
        <v/>
      </c>
      <c r="O203" s="10"/>
      <c r="P203" s="7" t="str">
        <f t="shared" si="107"/>
        <v/>
      </c>
      <c r="Q203" s="2" t="str">
        <f t="shared" si="108"/>
        <v/>
      </c>
      <c r="R203" s="9" t="s">
        <v>36</v>
      </c>
      <c r="S203" s="9"/>
    </row>
    <row r="204" spans="1:19" ht="16" x14ac:dyDescent="0.2">
      <c r="A204" s="1" t="s">
        <v>304</v>
      </c>
      <c r="B204" s="9"/>
      <c r="C204" s="9"/>
      <c r="D204" s="9"/>
      <c r="E204" s="9"/>
      <c r="F204" s="9"/>
      <c r="G204" s="10"/>
      <c r="H204" s="10"/>
      <c r="I204" s="10"/>
      <c r="J204" s="7" t="str">
        <f t="shared" si="102"/>
        <v/>
      </c>
      <c r="K204" s="7" t="str">
        <f t="shared" si="103"/>
        <v/>
      </c>
      <c r="L204" s="7" t="str">
        <f t="shared" si="104"/>
        <v/>
      </c>
      <c r="M204" s="7" t="str">
        <f t="shared" si="105"/>
        <v/>
      </c>
      <c r="N204" s="7" t="str">
        <f t="shared" si="106"/>
        <v/>
      </c>
      <c r="O204" s="10"/>
      <c r="P204" s="7" t="str">
        <f t="shared" si="107"/>
        <v/>
      </c>
      <c r="Q204" s="2" t="str">
        <f t="shared" si="108"/>
        <v/>
      </c>
      <c r="R204" s="9" t="s">
        <v>36</v>
      </c>
      <c r="S204" s="9"/>
    </row>
    <row r="205" spans="1:19" ht="16" x14ac:dyDescent="0.2">
      <c r="A205" s="1" t="s">
        <v>305</v>
      </c>
      <c r="B205" s="9"/>
      <c r="C205" s="9"/>
      <c r="D205" s="9"/>
      <c r="E205" s="9"/>
      <c r="F205" s="9"/>
      <c r="G205" s="10"/>
      <c r="H205" s="10"/>
      <c r="I205" s="10"/>
      <c r="J205" s="7" t="str">
        <f t="shared" si="102"/>
        <v/>
      </c>
      <c r="K205" s="7" t="str">
        <f t="shared" si="103"/>
        <v/>
      </c>
      <c r="L205" s="7" t="str">
        <f t="shared" si="104"/>
        <v/>
      </c>
      <c r="M205" s="7" t="str">
        <f t="shared" si="105"/>
        <v/>
      </c>
      <c r="N205" s="7" t="str">
        <f t="shared" si="106"/>
        <v/>
      </c>
      <c r="O205" s="10"/>
      <c r="P205" s="7" t="str">
        <f t="shared" si="107"/>
        <v/>
      </c>
      <c r="Q205" s="2" t="str">
        <f t="shared" si="108"/>
        <v/>
      </c>
      <c r="R205" s="9" t="s">
        <v>36</v>
      </c>
      <c r="S205" s="9"/>
    </row>
    <row r="206" spans="1:19" ht="16" x14ac:dyDescent="0.2">
      <c r="A206" s="1" t="s">
        <v>306</v>
      </c>
      <c r="B206" s="9"/>
      <c r="C206" s="9"/>
      <c r="D206" s="9"/>
      <c r="E206" s="9"/>
      <c r="F206" s="9"/>
      <c r="G206" s="10"/>
      <c r="H206" s="10"/>
      <c r="I206" s="10"/>
      <c r="J206" s="7" t="str">
        <f t="shared" si="102"/>
        <v/>
      </c>
      <c r="K206" s="7" t="str">
        <f t="shared" si="103"/>
        <v/>
      </c>
      <c r="L206" s="7" t="str">
        <f t="shared" si="104"/>
        <v/>
      </c>
      <c r="M206" s="7" t="str">
        <f t="shared" si="105"/>
        <v/>
      </c>
      <c r="N206" s="7" t="str">
        <f t="shared" si="106"/>
        <v/>
      </c>
      <c r="O206" s="10"/>
      <c r="P206" s="7" t="str">
        <f t="shared" si="107"/>
        <v/>
      </c>
      <c r="Q206" s="2" t="str">
        <f t="shared" si="108"/>
        <v/>
      </c>
      <c r="R206" s="9" t="s">
        <v>36</v>
      </c>
      <c r="S206" s="9"/>
    </row>
    <row r="207" spans="1:19" ht="16" x14ac:dyDescent="0.2">
      <c r="A207" s="1" t="s">
        <v>307</v>
      </c>
      <c r="B207" s="9"/>
      <c r="C207" s="9"/>
      <c r="D207" s="9"/>
      <c r="E207" s="9"/>
      <c r="F207" s="9"/>
      <c r="G207" s="10"/>
      <c r="H207" s="10"/>
      <c r="I207" s="10"/>
      <c r="J207" s="7" t="str">
        <f t="shared" si="102"/>
        <v/>
      </c>
      <c r="K207" s="7" t="str">
        <f t="shared" si="103"/>
        <v/>
      </c>
      <c r="L207" s="7" t="str">
        <f t="shared" si="104"/>
        <v/>
      </c>
      <c r="M207" s="7" t="str">
        <f t="shared" si="105"/>
        <v/>
      </c>
      <c r="N207" s="7" t="str">
        <f t="shared" si="106"/>
        <v/>
      </c>
      <c r="O207" s="10"/>
      <c r="P207" s="7" t="str">
        <f t="shared" si="107"/>
        <v/>
      </c>
      <c r="Q207" s="2" t="str">
        <f t="shared" si="108"/>
        <v/>
      </c>
      <c r="R207" s="9" t="s">
        <v>36</v>
      </c>
      <c r="S207" s="9"/>
    </row>
    <row r="208" spans="1:19" ht="16" x14ac:dyDescent="0.2">
      <c r="A208" s="1" t="s">
        <v>308</v>
      </c>
      <c r="B208" s="9"/>
      <c r="C208" s="9"/>
      <c r="D208" s="9"/>
      <c r="E208" s="9"/>
      <c r="F208" s="9"/>
      <c r="G208" s="10"/>
      <c r="H208" s="10"/>
      <c r="I208" s="10"/>
      <c r="J208" s="7" t="str">
        <f t="shared" si="102"/>
        <v/>
      </c>
      <c r="K208" s="7" t="str">
        <f t="shared" si="103"/>
        <v/>
      </c>
      <c r="L208" s="7" t="str">
        <f t="shared" si="104"/>
        <v/>
      </c>
      <c r="M208" s="7" t="str">
        <f t="shared" si="105"/>
        <v/>
      </c>
      <c r="N208" s="7" t="str">
        <f t="shared" si="106"/>
        <v/>
      </c>
      <c r="O208" s="10"/>
      <c r="P208" s="7" t="str">
        <f t="shared" si="107"/>
        <v/>
      </c>
      <c r="Q208" s="2" t="str">
        <f t="shared" si="108"/>
        <v/>
      </c>
      <c r="R208" s="9" t="s">
        <v>36</v>
      </c>
      <c r="S208" s="9"/>
    </row>
    <row r="209" spans="1:19" ht="16" x14ac:dyDescent="0.2">
      <c r="A209" s="1" t="s">
        <v>309</v>
      </c>
      <c r="B209" s="9"/>
      <c r="C209" s="9"/>
      <c r="D209" s="9"/>
      <c r="E209" s="9"/>
      <c r="F209" s="9"/>
      <c r="G209" s="10"/>
      <c r="H209" s="10"/>
      <c r="I209" s="10"/>
      <c r="J209" s="7" t="str">
        <f t="shared" si="102"/>
        <v/>
      </c>
      <c r="K209" s="7" t="str">
        <f t="shared" si="103"/>
        <v/>
      </c>
      <c r="L209" s="7" t="str">
        <f t="shared" si="104"/>
        <v/>
      </c>
      <c r="M209" s="7" t="str">
        <f t="shared" si="105"/>
        <v/>
      </c>
      <c r="N209" s="7" t="str">
        <f t="shared" si="106"/>
        <v/>
      </c>
      <c r="O209" s="10"/>
      <c r="P209" s="7" t="str">
        <f t="shared" si="107"/>
        <v/>
      </c>
      <c r="Q209" s="2" t="str">
        <f t="shared" si="108"/>
        <v/>
      </c>
      <c r="R209" s="9" t="s">
        <v>36</v>
      </c>
      <c r="S209" s="9"/>
    </row>
    <row r="210" spans="1:19" ht="16" x14ac:dyDescent="0.2">
      <c r="A210" s="1" t="s">
        <v>310</v>
      </c>
      <c r="B210" s="9"/>
      <c r="C210" s="9"/>
      <c r="D210" s="9"/>
      <c r="E210" s="9"/>
      <c r="F210" s="9"/>
      <c r="G210" s="10"/>
      <c r="H210" s="10"/>
      <c r="I210" s="10"/>
      <c r="J210" s="7" t="str">
        <f t="shared" si="102"/>
        <v/>
      </c>
      <c r="K210" s="7" t="str">
        <f t="shared" si="103"/>
        <v/>
      </c>
      <c r="L210" s="7" t="str">
        <f t="shared" si="104"/>
        <v/>
      </c>
      <c r="M210" s="7" t="str">
        <f t="shared" si="105"/>
        <v/>
      </c>
      <c r="N210" s="7" t="str">
        <f t="shared" si="106"/>
        <v/>
      </c>
      <c r="O210" s="10"/>
      <c r="P210" s="7" t="str">
        <f t="shared" si="107"/>
        <v/>
      </c>
      <c r="Q210" s="2" t="str">
        <f t="shared" si="108"/>
        <v/>
      </c>
      <c r="R210" s="9" t="s">
        <v>36</v>
      </c>
      <c r="S210" s="9"/>
    </row>
    <row r="211" spans="1:19" ht="16" x14ac:dyDescent="0.2">
      <c r="A211" s="1" t="s">
        <v>311</v>
      </c>
      <c r="B211" s="9"/>
      <c r="C211" s="9"/>
      <c r="D211" s="9"/>
      <c r="E211" s="9"/>
      <c r="F211" s="9"/>
      <c r="G211" s="10"/>
      <c r="H211" s="10"/>
      <c r="I211" s="10"/>
      <c r="J211" s="7" t="str">
        <f t="shared" si="102"/>
        <v/>
      </c>
      <c r="K211" s="7" t="str">
        <f t="shared" si="103"/>
        <v/>
      </c>
      <c r="L211" s="7" t="str">
        <f t="shared" si="104"/>
        <v/>
      </c>
      <c r="M211" s="7" t="str">
        <f t="shared" si="105"/>
        <v/>
      </c>
      <c r="N211" s="7" t="str">
        <f t="shared" si="106"/>
        <v/>
      </c>
      <c r="O211" s="10"/>
      <c r="P211" s="7" t="str">
        <f t="shared" si="107"/>
        <v/>
      </c>
      <c r="Q211" s="2" t="str">
        <f t="shared" si="108"/>
        <v/>
      </c>
      <c r="R211" s="9" t="s">
        <v>36</v>
      </c>
      <c r="S211" s="9"/>
    </row>
    <row r="212" spans="1:19" ht="16" x14ac:dyDescent="0.2">
      <c r="A212" s="1" t="s">
        <v>312</v>
      </c>
      <c r="B212" s="9"/>
      <c r="C212" s="9"/>
      <c r="D212" s="9"/>
      <c r="E212" s="9"/>
      <c r="F212" s="9"/>
      <c r="G212" s="10"/>
      <c r="H212" s="10"/>
      <c r="I212" s="10"/>
      <c r="J212" s="7" t="str">
        <f t="shared" si="102"/>
        <v/>
      </c>
      <c r="K212" s="7" t="str">
        <f t="shared" si="103"/>
        <v/>
      </c>
      <c r="L212" s="7" t="str">
        <f t="shared" si="104"/>
        <v/>
      </c>
      <c r="M212" s="7" t="str">
        <f t="shared" si="105"/>
        <v/>
      </c>
      <c r="N212" s="7" t="str">
        <f t="shared" si="106"/>
        <v/>
      </c>
      <c r="O212" s="10"/>
      <c r="P212" s="7" t="str">
        <f t="shared" si="107"/>
        <v/>
      </c>
      <c r="Q212" s="2" t="str">
        <f t="shared" si="108"/>
        <v/>
      </c>
      <c r="R212" s="9" t="s">
        <v>36</v>
      </c>
      <c r="S212" s="9"/>
    </row>
    <row r="213" spans="1:19" ht="16" x14ac:dyDescent="0.2">
      <c r="A213" s="1" t="s">
        <v>313</v>
      </c>
      <c r="B213" s="9"/>
      <c r="C213" s="9"/>
      <c r="D213" s="9"/>
      <c r="E213" s="9"/>
      <c r="F213" s="9"/>
      <c r="G213" s="10"/>
      <c r="H213" s="10"/>
      <c r="I213" s="10"/>
      <c r="J213" s="7" t="str">
        <f t="shared" si="102"/>
        <v/>
      </c>
      <c r="K213" s="7" t="str">
        <f t="shared" si="103"/>
        <v/>
      </c>
      <c r="L213" s="7" t="str">
        <f t="shared" si="104"/>
        <v/>
      </c>
      <c r="M213" s="7" t="str">
        <f t="shared" si="105"/>
        <v/>
      </c>
      <c r="N213" s="7" t="str">
        <f t="shared" si="106"/>
        <v/>
      </c>
      <c r="O213" s="10"/>
      <c r="P213" s="7" t="str">
        <f t="shared" si="107"/>
        <v/>
      </c>
      <c r="Q213" s="2" t="str">
        <f t="shared" si="108"/>
        <v/>
      </c>
      <c r="R213" s="9" t="s">
        <v>36</v>
      </c>
      <c r="S213" s="9"/>
    </row>
    <row r="214" spans="1:19" ht="16" x14ac:dyDescent="0.2">
      <c r="A214" s="1" t="s">
        <v>314</v>
      </c>
      <c r="B214" s="9"/>
      <c r="C214" s="9"/>
      <c r="D214" s="9"/>
      <c r="E214" s="9"/>
      <c r="F214" s="9"/>
      <c r="G214" s="10"/>
      <c r="H214" s="10"/>
      <c r="I214" s="10"/>
      <c r="J214" s="7" t="str">
        <f t="shared" si="102"/>
        <v/>
      </c>
      <c r="K214" s="7" t="str">
        <f t="shared" si="103"/>
        <v/>
      </c>
      <c r="L214" s="7" t="str">
        <f t="shared" si="104"/>
        <v/>
      </c>
      <c r="M214" s="7" t="str">
        <f t="shared" si="105"/>
        <v/>
      </c>
      <c r="N214" s="7" t="str">
        <f t="shared" si="106"/>
        <v/>
      </c>
      <c r="O214" s="10"/>
      <c r="P214" s="7" t="str">
        <f t="shared" si="107"/>
        <v/>
      </c>
      <c r="Q214" s="2" t="str">
        <f t="shared" si="108"/>
        <v/>
      </c>
      <c r="R214" s="9" t="s">
        <v>36</v>
      </c>
      <c r="S214" s="9"/>
    </row>
    <row r="215" spans="1:19" ht="16" x14ac:dyDescent="0.2">
      <c r="A215" s="1" t="s">
        <v>315</v>
      </c>
      <c r="B215" s="9"/>
      <c r="C215" s="9"/>
      <c r="D215" s="9"/>
      <c r="E215" s="9"/>
      <c r="F215" s="9"/>
      <c r="G215" s="10"/>
      <c r="H215" s="10"/>
      <c r="I215" s="10"/>
      <c r="J215" s="7" t="str">
        <f t="shared" si="102"/>
        <v/>
      </c>
      <c r="K215" s="7" t="str">
        <f t="shared" si="103"/>
        <v/>
      </c>
      <c r="L215" s="7" t="str">
        <f t="shared" si="104"/>
        <v/>
      </c>
      <c r="M215" s="7" t="str">
        <f t="shared" si="105"/>
        <v/>
      </c>
      <c r="N215" s="7" t="str">
        <f t="shared" si="106"/>
        <v/>
      </c>
      <c r="O215" s="10"/>
      <c r="P215" s="7" t="str">
        <f t="shared" si="107"/>
        <v/>
      </c>
      <c r="Q215" s="2" t="str">
        <f t="shared" si="108"/>
        <v/>
      </c>
      <c r="R215" s="9" t="s">
        <v>36</v>
      </c>
      <c r="S215" s="9"/>
    </row>
    <row r="216" spans="1:19" ht="16" x14ac:dyDescent="0.2">
      <c r="A216" s="1" t="s">
        <v>316</v>
      </c>
      <c r="B216" s="9"/>
      <c r="C216" s="9"/>
      <c r="D216" s="9"/>
      <c r="E216" s="9"/>
      <c r="F216" s="9"/>
      <c r="G216" s="10"/>
      <c r="H216" s="10"/>
      <c r="I216" s="10"/>
      <c r="J216" s="7" t="str">
        <f t="shared" si="102"/>
        <v/>
      </c>
      <c r="K216" s="7" t="str">
        <f t="shared" si="103"/>
        <v/>
      </c>
      <c r="L216" s="7" t="str">
        <f t="shared" si="104"/>
        <v/>
      </c>
      <c r="M216" s="7" t="str">
        <f t="shared" si="105"/>
        <v/>
      </c>
      <c r="N216" s="7" t="str">
        <f t="shared" si="106"/>
        <v/>
      </c>
      <c r="O216" s="10"/>
      <c r="P216" s="7" t="str">
        <f t="shared" si="107"/>
        <v/>
      </c>
      <c r="Q216" s="2" t="str">
        <f t="shared" si="108"/>
        <v/>
      </c>
      <c r="R216" s="9" t="s">
        <v>36</v>
      </c>
      <c r="S216" s="9"/>
    </row>
    <row r="217" spans="1:19" ht="16" x14ac:dyDescent="0.2">
      <c r="A217" s="1" t="s">
        <v>317</v>
      </c>
      <c r="B217" s="9"/>
      <c r="C217" s="9"/>
      <c r="D217" s="9"/>
      <c r="E217" s="9"/>
      <c r="F217" s="9"/>
      <c r="G217" s="10"/>
      <c r="H217" s="10"/>
      <c r="I217" s="10"/>
      <c r="J217" s="7" t="str">
        <f t="shared" si="102"/>
        <v/>
      </c>
      <c r="K217" s="7" t="str">
        <f t="shared" si="103"/>
        <v/>
      </c>
      <c r="L217" s="7" t="str">
        <f t="shared" si="104"/>
        <v/>
      </c>
      <c r="M217" s="7" t="str">
        <f t="shared" si="105"/>
        <v/>
      </c>
      <c r="N217" s="7" t="str">
        <f t="shared" si="106"/>
        <v/>
      </c>
      <c r="O217" s="10"/>
      <c r="P217" s="7" t="str">
        <f t="shared" si="107"/>
        <v/>
      </c>
      <c r="Q217" s="2" t="str">
        <f t="shared" si="108"/>
        <v/>
      </c>
      <c r="R217" s="9" t="s">
        <v>36</v>
      </c>
      <c r="S217" s="9"/>
    </row>
    <row r="218" spans="1:19" ht="16" x14ac:dyDescent="0.2">
      <c r="A218" s="1" t="s">
        <v>318</v>
      </c>
      <c r="B218" s="9"/>
      <c r="C218" s="9"/>
      <c r="D218" s="9"/>
      <c r="E218" s="9"/>
      <c r="F218" s="9"/>
      <c r="G218" s="10"/>
      <c r="H218" s="10"/>
      <c r="I218" s="10"/>
      <c r="J218" s="7" t="str">
        <f t="shared" si="102"/>
        <v/>
      </c>
      <c r="K218" s="7" t="str">
        <f t="shared" si="103"/>
        <v/>
      </c>
      <c r="L218" s="7" t="str">
        <f t="shared" si="104"/>
        <v/>
      </c>
      <c r="M218" s="7" t="str">
        <f t="shared" si="105"/>
        <v/>
      </c>
      <c r="N218" s="7" t="str">
        <f t="shared" si="106"/>
        <v/>
      </c>
      <c r="O218" s="10"/>
      <c r="P218" s="7" t="str">
        <f t="shared" si="107"/>
        <v/>
      </c>
      <c r="Q218" s="2" t="str">
        <f t="shared" si="108"/>
        <v/>
      </c>
      <c r="R218" s="9" t="s">
        <v>36</v>
      </c>
      <c r="S218" s="9"/>
    </row>
    <row r="219" spans="1:19" ht="16" x14ac:dyDescent="0.2">
      <c r="A219" s="1" t="s">
        <v>319</v>
      </c>
      <c r="B219" s="9"/>
      <c r="C219" s="9"/>
      <c r="D219" s="9"/>
      <c r="E219" s="9"/>
      <c r="F219" s="9"/>
      <c r="G219" s="10"/>
      <c r="H219" s="10"/>
      <c r="I219" s="10"/>
      <c r="J219" s="7" t="str">
        <f t="shared" si="102"/>
        <v/>
      </c>
      <c r="K219" s="7" t="str">
        <f t="shared" si="103"/>
        <v/>
      </c>
      <c r="L219" s="7" t="str">
        <f t="shared" si="104"/>
        <v/>
      </c>
      <c r="M219" s="7" t="str">
        <f t="shared" si="105"/>
        <v/>
      </c>
      <c r="N219" s="7" t="str">
        <f t="shared" si="106"/>
        <v/>
      </c>
      <c r="O219" s="10"/>
      <c r="P219" s="7" t="str">
        <f t="shared" si="107"/>
        <v/>
      </c>
      <c r="Q219" s="2" t="str">
        <f t="shared" si="108"/>
        <v/>
      </c>
      <c r="R219" s="9" t="s">
        <v>36</v>
      </c>
      <c r="S219" s="9"/>
    </row>
    <row r="220" spans="1:19" ht="16" x14ac:dyDescent="0.2">
      <c r="A220" s="1" t="s">
        <v>320</v>
      </c>
      <c r="B220" s="9"/>
      <c r="C220" s="9"/>
      <c r="D220" s="9"/>
      <c r="E220" s="9"/>
      <c r="F220" s="9"/>
      <c r="G220" s="10"/>
      <c r="H220" s="10"/>
      <c r="I220" s="10"/>
      <c r="J220" s="7" t="str">
        <f t="shared" si="102"/>
        <v/>
      </c>
      <c r="K220" s="7" t="str">
        <f t="shared" si="103"/>
        <v/>
      </c>
      <c r="L220" s="7" t="str">
        <f t="shared" si="104"/>
        <v/>
      </c>
      <c r="M220" s="7" t="str">
        <f t="shared" si="105"/>
        <v/>
      </c>
      <c r="N220" s="7" t="str">
        <f t="shared" si="106"/>
        <v/>
      </c>
      <c r="O220" s="10"/>
      <c r="P220" s="7" t="str">
        <f t="shared" si="107"/>
        <v/>
      </c>
      <c r="Q220" s="2" t="str">
        <f t="shared" si="108"/>
        <v/>
      </c>
      <c r="R220" s="9" t="s">
        <v>36</v>
      </c>
      <c r="S220" s="9"/>
    </row>
    <row r="221" spans="1:19" ht="16" x14ac:dyDescent="0.2">
      <c r="A221" s="1" t="s">
        <v>321</v>
      </c>
      <c r="B221" s="9"/>
      <c r="C221" s="9"/>
      <c r="D221" s="9"/>
      <c r="E221" s="9"/>
      <c r="F221" s="9"/>
      <c r="G221" s="10"/>
      <c r="H221" s="10"/>
      <c r="I221" s="10"/>
      <c r="J221" s="7" t="str">
        <f t="shared" si="102"/>
        <v/>
      </c>
      <c r="K221" s="7" t="str">
        <f t="shared" si="103"/>
        <v/>
      </c>
      <c r="L221" s="7" t="str">
        <f t="shared" si="104"/>
        <v/>
      </c>
      <c r="M221" s="7" t="str">
        <f t="shared" si="105"/>
        <v/>
      </c>
      <c r="N221" s="7" t="str">
        <f t="shared" si="106"/>
        <v/>
      </c>
      <c r="O221" s="10"/>
      <c r="P221" s="7" t="str">
        <f t="shared" si="107"/>
        <v/>
      </c>
      <c r="Q221" s="2" t="str">
        <f t="shared" si="108"/>
        <v/>
      </c>
      <c r="R221" s="9" t="s">
        <v>36</v>
      </c>
      <c r="S221" s="9"/>
    </row>
    <row r="222" spans="1:19" ht="16" x14ac:dyDescent="0.2">
      <c r="A222" s="1" t="s">
        <v>322</v>
      </c>
      <c r="B222" s="9"/>
      <c r="C222" s="9"/>
      <c r="D222" s="9"/>
      <c r="E222" s="9"/>
      <c r="F222" s="9"/>
      <c r="G222" s="10"/>
      <c r="H222" s="10"/>
      <c r="I222" s="10"/>
      <c r="J222" s="7" t="str">
        <f t="shared" si="102"/>
        <v/>
      </c>
      <c r="K222" s="7" t="str">
        <f t="shared" si="103"/>
        <v/>
      </c>
      <c r="L222" s="7" t="str">
        <f t="shared" si="104"/>
        <v/>
      </c>
      <c r="M222" s="7" t="str">
        <f t="shared" si="105"/>
        <v/>
      </c>
      <c r="N222" s="7" t="str">
        <f t="shared" si="106"/>
        <v/>
      </c>
      <c r="O222" s="10"/>
      <c r="P222" s="7" t="str">
        <f t="shared" si="107"/>
        <v/>
      </c>
      <c r="Q222" s="2" t="str">
        <f t="shared" si="108"/>
        <v/>
      </c>
      <c r="R222" s="9" t="s">
        <v>36</v>
      </c>
      <c r="S222" s="9"/>
    </row>
    <row r="223" spans="1:19" ht="16" x14ac:dyDescent="0.2">
      <c r="A223" s="1" t="s">
        <v>323</v>
      </c>
      <c r="B223" s="9"/>
      <c r="C223" s="9"/>
      <c r="D223" s="9"/>
      <c r="E223" s="9"/>
      <c r="F223" s="9"/>
      <c r="G223" s="10"/>
      <c r="H223" s="10"/>
      <c r="I223" s="10"/>
      <c r="J223" s="7" t="str">
        <f t="shared" si="102"/>
        <v/>
      </c>
      <c r="K223" s="7" t="str">
        <f t="shared" si="103"/>
        <v/>
      </c>
      <c r="L223" s="7" t="str">
        <f t="shared" si="104"/>
        <v/>
      </c>
      <c r="M223" s="7" t="str">
        <f t="shared" si="105"/>
        <v/>
      </c>
      <c r="N223" s="7" t="str">
        <f t="shared" si="106"/>
        <v/>
      </c>
      <c r="O223" s="10"/>
      <c r="P223" s="7" t="str">
        <f t="shared" si="107"/>
        <v/>
      </c>
      <c r="Q223" s="2" t="str">
        <f t="shared" si="108"/>
        <v/>
      </c>
      <c r="R223" s="9" t="s">
        <v>36</v>
      </c>
      <c r="S223" s="9"/>
    </row>
    <row r="224" spans="1:19" ht="16" x14ac:dyDescent="0.2">
      <c r="A224" s="1" t="s">
        <v>324</v>
      </c>
      <c r="B224" s="9"/>
      <c r="C224" s="9"/>
      <c r="D224" s="9"/>
      <c r="E224" s="9"/>
      <c r="F224" s="9"/>
      <c r="G224" s="10"/>
      <c r="H224" s="10"/>
      <c r="I224" s="10"/>
      <c r="J224" s="7" t="str">
        <f t="shared" si="102"/>
        <v/>
      </c>
      <c r="K224" s="7" t="str">
        <f t="shared" si="103"/>
        <v/>
      </c>
      <c r="L224" s="7" t="str">
        <f t="shared" si="104"/>
        <v/>
      </c>
      <c r="M224" s="7" t="str">
        <f t="shared" si="105"/>
        <v/>
      </c>
      <c r="N224" s="7" t="str">
        <f t="shared" si="106"/>
        <v/>
      </c>
      <c r="O224" s="10"/>
      <c r="P224" s="7" t="str">
        <f t="shared" si="107"/>
        <v/>
      </c>
      <c r="Q224" s="2" t="str">
        <f t="shared" si="108"/>
        <v/>
      </c>
      <c r="R224" s="9" t="s">
        <v>36</v>
      </c>
      <c r="S224" s="9"/>
    </row>
    <row r="225" spans="1:19" ht="16" x14ac:dyDescent="0.2">
      <c r="A225" s="1" t="s">
        <v>325</v>
      </c>
      <c r="B225" s="9"/>
      <c r="C225" s="9"/>
      <c r="D225" s="9"/>
      <c r="E225" s="9"/>
      <c r="F225" s="9"/>
      <c r="G225" s="10"/>
      <c r="H225" s="10"/>
      <c r="I225" s="10"/>
      <c r="J225" s="7" t="str">
        <f t="shared" si="102"/>
        <v/>
      </c>
      <c r="K225" s="7" t="str">
        <f t="shared" si="103"/>
        <v/>
      </c>
      <c r="L225" s="7" t="str">
        <f t="shared" si="104"/>
        <v/>
      </c>
      <c r="M225" s="7" t="str">
        <f t="shared" si="105"/>
        <v/>
      </c>
      <c r="N225" s="7" t="str">
        <f t="shared" si="106"/>
        <v/>
      </c>
      <c r="O225" s="10"/>
      <c r="P225" s="7" t="str">
        <f t="shared" si="107"/>
        <v/>
      </c>
      <c r="Q225" s="2" t="str">
        <f t="shared" si="108"/>
        <v/>
      </c>
      <c r="R225" s="9" t="s">
        <v>36</v>
      </c>
      <c r="S225" s="9"/>
    </row>
    <row r="226" spans="1:19" ht="16" x14ac:dyDescent="0.2">
      <c r="A226" s="1" t="s">
        <v>326</v>
      </c>
      <c r="B226" s="9"/>
      <c r="C226" s="9"/>
      <c r="D226" s="9"/>
      <c r="E226" s="9"/>
      <c r="F226" s="9"/>
      <c r="G226" s="10"/>
      <c r="H226" s="10"/>
      <c r="I226" s="10"/>
      <c r="J226" s="7" t="str">
        <f t="shared" si="102"/>
        <v/>
      </c>
      <c r="K226" s="7" t="str">
        <f t="shared" si="103"/>
        <v/>
      </c>
      <c r="L226" s="7" t="str">
        <f t="shared" si="104"/>
        <v/>
      </c>
      <c r="M226" s="7" t="str">
        <f t="shared" si="105"/>
        <v/>
      </c>
      <c r="N226" s="7" t="str">
        <f t="shared" si="106"/>
        <v/>
      </c>
      <c r="O226" s="10"/>
      <c r="P226" s="7" t="str">
        <f t="shared" si="107"/>
        <v/>
      </c>
      <c r="Q226" s="2" t="str">
        <f t="shared" si="108"/>
        <v/>
      </c>
      <c r="R226" s="9" t="s">
        <v>36</v>
      </c>
      <c r="S226" s="9"/>
    </row>
    <row r="227" spans="1:19" ht="16" x14ac:dyDescent="0.2">
      <c r="A227" s="1" t="s">
        <v>327</v>
      </c>
      <c r="B227" s="9"/>
      <c r="C227" s="9"/>
      <c r="D227" s="9"/>
      <c r="E227" s="9"/>
      <c r="F227" s="9"/>
      <c r="G227" s="10"/>
      <c r="H227" s="10"/>
      <c r="I227" s="10"/>
      <c r="J227" s="7" t="str">
        <f t="shared" si="102"/>
        <v/>
      </c>
      <c r="K227" s="7" t="str">
        <f t="shared" si="103"/>
        <v/>
      </c>
      <c r="L227" s="7" t="str">
        <f t="shared" si="104"/>
        <v/>
      </c>
      <c r="M227" s="7" t="str">
        <f t="shared" si="105"/>
        <v/>
      </c>
      <c r="N227" s="7" t="str">
        <f t="shared" si="106"/>
        <v/>
      </c>
      <c r="O227" s="10"/>
      <c r="P227" s="7" t="str">
        <f t="shared" si="107"/>
        <v/>
      </c>
      <c r="Q227" s="2" t="str">
        <f t="shared" si="108"/>
        <v/>
      </c>
      <c r="R227" s="9" t="s">
        <v>36</v>
      </c>
      <c r="S227" s="9"/>
    </row>
    <row r="228" spans="1:19" ht="16" x14ac:dyDescent="0.2">
      <c r="A228" s="1" t="s">
        <v>328</v>
      </c>
      <c r="B228" s="9"/>
      <c r="C228" s="9"/>
      <c r="D228" s="9"/>
      <c r="E228" s="9"/>
      <c r="F228" s="9"/>
      <c r="G228" s="10"/>
      <c r="H228" s="10"/>
      <c r="I228" s="10"/>
      <c r="J228" s="7" t="str">
        <f t="shared" si="102"/>
        <v/>
      </c>
      <c r="K228" s="7" t="str">
        <f t="shared" si="103"/>
        <v/>
      </c>
      <c r="L228" s="7" t="str">
        <f t="shared" si="104"/>
        <v/>
      </c>
      <c r="M228" s="7" t="str">
        <f t="shared" si="105"/>
        <v/>
      </c>
      <c r="N228" s="7" t="str">
        <f t="shared" si="106"/>
        <v/>
      </c>
      <c r="O228" s="10"/>
      <c r="P228" s="7" t="str">
        <f t="shared" si="107"/>
        <v/>
      </c>
      <c r="Q228" s="2" t="str">
        <f t="shared" si="108"/>
        <v/>
      </c>
      <c r="R228" s="9" t="s">
        <v>36</v>
      </c>
      <c r="S228" s="9"/>
    </row>
    <row r="229" spans="1:19" ht="16" x14ac:dyDescent="0.2">
      <c r="A229" s="1" t="s">
        <v>329</v>
      </c>
      <c r="B229" s="9"/>
      <c r="C229" s="9"/>
      <c r="D229" s="9"/>
      <c r="E229" s="9"/>
      <c r="F229" s="9"/>
      <c r="G229" s="10"/>
      <c r="H229" s="10"/>
      <c r="I229" s="10"/>
      <c r="J229" s="7" t="str">
        <f t="shared" si="102"/>
        <v/>
      </c>
      <c r="K229" s="7" t="str">
        <f t="shared" si="103"/>
        <v/>
      </c>
      <c r="L229" s="7" t="str">
        <f t="shared" si="104"/>
        <v/>
      </c>
      <c r="M229" s="7" t="str">
        <f t="shared" si="105"/>
        <v/>
      </c>
      <c r="N229" s="7" t="str">
        <f t="shared" si="106"/>
        <v/>
      </c>
      <c r="O229" s="10"/>
      <c r="P229" s="7" t="str">
        <f t="shared" si="107"/>
        <v/>
      </c>
      <c r="Q229" s="2" t="str">
        <f t="shared" si="108"/>
        <v/>
      </c>
      <c r="R229" s="9" t="s">
        <v>36</v>
      </c>
      <c r="S229" s="9"/>
    </row>
    <row r="230" spans="1:19" ht="16" x14ac:dyDescent="0.2">
      <c r="A230" s="1" t="s">
        <v>330</v>
      </c>
      <c r="B230" s="9"/>
      <c r="C230" s="9"/>
      <c r="D230" s="9"/>
      <c r="E230" s="9"/>
      <c r="F230" s="9"/>
      <c r="G230" s="10"/>
      <c r="H230" s="10"/>
      <c r="I230" s="10"/>
      <c r="J230" s="7" t="str">
        <f t="shared" si="102"/>
        <v/>
      </c>
      <c r="K230" s="7" t="str">
        <f t="shared" si="103"/>
        <v/>
      </c>
      <c r="L230" s="7" t="str">
        <f t="shared" si="104"/>
        <v/>
      </c>
      <c r="M230" s="7" t="str">
        <f t="shared" si="105"/>
        <v/>
      </c>
      <c r="N230" s="7" t="str">
        <f t="shared" si="106"/>
        <v/>
      </c>
      <c r="O230" s="10"/>
      <c r="P230" s="7" t="str">
        <f t="shared" si="107"/>
        <v/>
      </c>
      <c r="Q230" s="2" t="str">
        <f t="shared" si="108"/>
        <v/>
      </c>
      <c r="R230" s="9" t="s">
        <v>36</v>
      </c>
      <c r="S230" s="9"/>
    </row>
    <row r="231" spans="1:19" ht="16" x14ac:dyDescent="0.2">
      <c r="A231" s="1" t="s">
        <v>331</v>
      </c>
      <c r="B231" s="9"/>
      <c r="C231" s="9"/>
      <c r="D231" s="9"/>
      <c r="E231" s="9"/>
      <c r="F231" s="9"/>
      <c r="G231" s="10"/>
      <c r="H231" s="10"/>
      <c r="I231" s="10"/>
      <c r="J231" s="7" t="str">
        <f t="shared" si="102"/>
        <v/>
      </c>
      <c r="K231" s="7" t="str">
        <f t="shared" si="103"/>
        <v/>
      </c>
      <c r="L231" s="7" t="str">
        <f t="shared" si="104"/>
        <v/>
      </c>
      <c r="M231" s="7" t="str">
        <f t="shared" si="105"/>
        <v/>
      </c>
      <c r="N231" s="7" t="str">
        <f t="shared" si="106"/>
        <v/>
      </c>
      <c r="O231" s="10"/>
      <c r="P231" s="7" t="str">
        <f t="shared" si="107"/>
        <v/>
      </c>
      <c r="Q231" s="2" t="str">
        <f t="shared" si="108"/>
        <v/>
      </c>
      <c r="R231" s="9" t="s">
        <v>36</v>
      </c>
      <c r="S231" s="9"/>
    </row>
    <row r="232" spans="1:19" ht="16" x14ac:dyDescent="0.2">
      <c r="A232" s="1" t="s">
        <v>332</v>
      </c>
      <c r="B232" s="9"/>
      <c r="C232" s="9"/>
      <c r="D232" s="9"/>
      <c r="E232" s="9"/>
      <c r="F232" s="9"/>
      <c r="G232" s="10"/>
      <c r="H232" s="10"/>
      <c r="I232" s="10"/>
      <c r="J232" s="7" t="str">
        <f t="shared" si="102"/>
        <v/>
      </c>
      <c r="K232" s="7" t="str">
        <f t="shared" si="103"/>
        <v/>
      </c>
      <c r="L232" s="7" t="str">
        <f t="shared" si="104"/>
        <v/>
      </c>
      <c r="M232" s="7" t="str">
        <f t="shared" si="105"/>
        <v/>
      </c>
      <c r="N232" s="7" t="str">
        <f t="shared" si="106"/>
        <v/>
      </c>
      <c r="O232" s="10"/>
      <c r="P232" s="7" t="str">
        <f t="shared" si="107"/>
        <v/>
      </c>
      <c r="Q232" s="2" t="str">
        <f t="shared" si="108"/>
        <v/>
      </c>
      <c r="R232" s="9" t="s">
        <v>36</v>
      </c>
      <c r="S232" s="9"/>
    </row>
    <row r="233" spans="1:19" ht="16" x14ac:dyDescent="0.2">
      <c r="A233" s="1" t="s">
        <v>333</v>
      </c>
      <c r="B233" s="9"/>
      <c r="C233" s="9"/>
      <c r="D233" s="9"/>
      <c r="E233" s="9"/>
      <c r="F233" s="9"/>
      <c r="G233" s="10"/>
      <c r="H233" s="10"/>
      <c r="I233" s="10"/>
      <c r="J233" s="7" t="str">
        <f t="shared" si="102"/>
        <v/>
      </c>
      <c r="K233" s="7" t="str">
        <f t="shared" si="103"/>
        <v/>
      </c>
      <c r="L233" s="7" t="str">
        <f t="shared" si="104"/>
        <v/>
      </c>
      <c r="M233" s="7" t="str">
        <f t="shared" si="105"/>
        <v/>
      </c>
      <c r="N233" s="7" t="str">
        <f t="shared" si="106"/>
        <v/>
      </c>
      <c r="O233" s="10"/>
      <c r="P233" s="7" t="str">
        <f t="shared" si="107"/>
        <v/>
      </c>
      <c r="Q233" s="2" t="str">
        <f t="shared" si="108"/>
        <v/>
      </c>
      <c r="R233" s="9" t="s">
        <v>36</v>
      </c>
      <c r="S233" s="9"/>
    </row>
    <row r="234" spans="1:19" ht="16" x14ac:dyDescent="0.2">
      <c r="A234" s="1" t="s">
        <v>334</v>
      </c>
      <c r="B234" s="9"/>
      <c r="C234" s="9"/>
      <c r="D234" s="9"/>
      <c r="E234" s="9"/>
      <c r="F234" s="9"/>
      <c r="G234" s="10"/>
      <c r="H234" s="10"/>
      <c r="I234" s="10"/>
      <c r="J234" s="7" t="str">
        <f t="shared" si="102"/>
        <v/>
      </c>
      <c r="K234" s="7" t="str">
        <f t="shared" si="103"/>
        <v/>
      </c>
      <c r="L234" s="7" t="str">
        <f t="shared" si="104"/>
        <v/>
      </c>
      <c r="M234" s="7" t="str">
        <f t="shared" si="105"/>
        <v/>
      </c>
      <c r="N234" s="7" t="str">
        <f t="shared" si="106"/>
        <v/>
      </c>
      <c r="O234" s="10"/>
      <c r="P234" s="7" t="str">
        <f t="shared" si="107"/>
        <v/>
      </c>
      <c r="Q234" s="2" t="str">
        <f t="shared" si="108"/>
        <v/>
      </c>
      <c r="R234" s="9" t="s">
        <v>36</v>
      </c>
      <c r="S234" s="9"/>
    </row>
    <row r="235" spans="1:19" ht="16" x14ac:dyDescent="0.2">
      <c r="A235" s="1" t="s">
        <v>335</v>
      </c>
      <c r="B235" s="9"/>
      <c r="C235" s="9"/>
      <c r="D235" s="9"/>
      <c r="E235" s="9"/>
      <c r="F235" s="9"/>
      <c r="G235" s="10"/>
      <c r="H235" s="10"/>
      <c r="I235" s="10"/>
      <c r="J235" s="7" t="str">
        <f t="shared" si="102"/>
        <v/>
      </c>
      <c r="K235" s="7" t="str">
        <f t="shared" si="103"/>
        <v/>
      </c>
      <c r="L235" s="7" t="str">
        <f t="shared" si="104"/>
        <v/>
      </c>
      <c r="M235" s="7" t="str">
        <f t="shared" si="105"/>
        <v/>
      </c>
      <c r="N235" s="7" t="str">
        <f t="shared" si="106"/>
        <v/>
      </c>
      <c r="O235" s="10"/>
      <c r="P235" s="7" t="str">
        <f t="shared" si="107"/>
        <v/>
      </c>
      <c r="Q235" s="2" t="str">
        <f t="shared" si="108"/>
        <v/>
      </c>
      <c r="R235" s="9" t="s">
        <v>36</v>
      </c>
      <c r="S235" s="9"/>
    </row>
    <row r="236" spans="1:19" ht="16" x14ac:dyDescent="0.2">
      <c r="A236" s="1" t="s">
        <v>336</v>
      </c>
      <c r="B236" s="9"/>
      <c r="C236" s="9"/>
      <c r="D236" s="9"/>
      <c r="E236" s="9"/>
      <c r="F236" s="9"/>
      <c r="G236" s="10"/>
      <c r="H236" s="10"/>
      <c r="I236" s="10"/>
      <c r="J236" s="7" t="str">
        <f t="shared" si="102"/>
        <v/>
      </c>
      <c r="K236" s="7" t="str">
        <f t="shared" si="103"/>
        <v/>
      </c>
      <c r="L236" s="7" t="str">
        <f t="shared" si="104"/>
        <v/>
      </c>
      <c r="M236" s="7" t="str">
        <f t="shared" si="105"/>
        <v/>
      </c>
      <c r="N236" s="7" t="str">
        <f t="shared" si="106"/>
        <v/>
      </c>
      <c r="O236" s="10"/>
      <c r="P236" s="7" t="str">
        <f t="shared" si="107"/>
        <v/>
      </c>
      <c r="Q236" s="2" t="str">
        <f t="shared" si="108"/>
        <v/>
      </c>
      <c r="R236" s="9" t="s">
        <v>36</v>
      </c>
      <c r="S236" s="9"/>
    </row>
    <row r="237" spans="1:19" ht="16" x14ac:dyDescent="0.2">
      <c r="A237" s="1" t="s">
        <v>337</v>
      </c>
      <c r="B237" s="9"/>
      <c r="C237" s="9"/>
      <c r="D237" s="9"/>
      <c r="E237" s="9"/>
      <c r="F237" s="9"/>
      <c r="G237" s="10"/>
      <c r="H237" s="10"/>
      <c r="I237" s="10"/>
      <c r="J237" s="7" t="str">
        <f t="shared" si="102"/>
        <v/>
      </c>
      <c r="K237" s="7" t="str">
        <f t="shared" si="103"/>
        <v/>
      </c>
      <c r="L237" s="7" t="str">
        <f t="shared" si="104"/>
        <v/>
      </c>
      <c r="M237" s="7" t="str">
        <f t="shared" si="105"/>
        <v/>
      </c>
      <c r="N237" s="7" t="str">
        <f t="shared" si="106"/>
        <v/>
      </c>
      <c r="O237" s="10"/>
      <c r="P237" s="7" t="str">
        <f t="shared" si="107"/>
        <v/>
      </c>
      <c r="Q237" s="2" t="str">
        <f t="shared" si="108"/>
        <v/>
      </c>
      <c r="R237" s="9" t="s">
        <v>36</v>
      </c>
      <c r="S237" s="9"/>
    </row>
    <row r="238" spans="1:19" ht="16" x14ac:dyDescent="0.2">
      <c r="A238" s="1" t="s">
        <v>338</v>
      </c>
      <c r="B238" s="9"/>
      <c r="C238" s="9"/>
      <c r="D238" s="9"/>
      <c r="E238" s="9"/>
      <c r="F238" s="9"/>
      <c r="G238" s="10"/>
      <c r="H238" s="10"/>
      <c r="I238" s="10"/>
      <c r="J238" s="7" t="str">
        <f t="shared" si="102"/>
        <v/>
      </c>
      <c r="K238" s="7" t="str">
        <f t="shared" si="103"/>
        <v/>
      </c>
      <c r="L238" s="7" t="str">
        <f t="shared" si="104"/>
        <v/>
      </c>
      <c r="M238" s="7" t="str">
        <f t="shared" si="105"/>
        <v/>
      </c>
      <c r="N238" s="7" t="str">
        <f t="shared" si="106"/>
        <v/>
      </c>
      <c r="O238" s="10"/>
      <c r="P238" s="7" t="str">
        <f t="shared" si="107"/>
        <v/>
      </c>
      <c r="Q238" s="2" t="str">
        <f t="shared" si="108"/>
        <v/>
      </c>
      <c r="R238" s="9" t="s">
        <v>36</v>
      </c>
      <c r="S238" s="9"/>
    </row>
    <row r="239" spans="1:19" ht="16" x14ac:dyDescent="0.2">
      <c r="A239" s="1" t="s">
        <v>339</v>
      </c>
      <c r="B239" s="9"/>
      <c r="C239" s="9"/>
      <c r="D239" s="9"/>
      <c r="E239" s="9"/>
      <c r="F239" s="9"/>
      <c r="G239" s="10"/>
      <c r="H239" s="10"/>
      <c r="I239" s="10"/>
      <c r="J239" s="7" t="str">
        <f t="shared" si="102"/>
        <v/>
      </c>
      <c r="K239" s="7" t="str">
        <f t="shared" si="103"/>
        <v/>
      </c>
      <c r="L239" s="7" t="str">
        <f t="shared" si="104"/>
        <v/>
      </c>
      <c r="M239" s="7" t="str">
        <f t="shared" si="105"/>
        <v/>
      </c>
      <c r="N239" s="7" t="str">
        <f t="shared" si="106"/>
        <v/>
      </c>
      <c r="O239" s="10"/>
      <c r="P239" s="7" t="str">
        <f t="shared" si="107"/>
        <v/>
      </c>
      <c r="Q239" s="2" t="str">
        <f t="shared" si="108"/>
        <v/>
      </c>
      <c r="R239" s="9" t="s">
        <v>36</v>
      </c>
      <c r="S239" s="9"/>
    </row>
    <row r="240" spans="1:19" ht="16" x14ac:dyDescent="0.2">
      <c r="A240" s="1" t="s">
        <v>340</v>
      </c>
      <c r="B240" s="9"/>
      <c r="C240" s="9"/>
      <c r="D240" s="9"/>
      <c r="E240" s="9"/>
      <c r="F240" s="9"/>
      <c r="G240" s="10"/>
      <c r="H240" s="10"/>
      <c r="I240" s="10"/>
      <c r="J240" s="7" t="str">
        <f t="shared" si="102"/>
        <v/>
      </c>
      <c r="K240" s="7" t="str">
        <f t="shared" si="103"/>
        <v/>
      </c>
      <c r="L240" s="7" t="str">
        <f t="shared" si="104"/>
        <v/>
      </c>
      <c r="M240" s="7" t="str">
        <f t="shared" si="105"/>
        <v/>
      </c>
      <c r="N240" s="7" t="str">
        <f t="shared" si="106"/>
        <v/>
      </c>
      <c r="O240" s="10"/>
      <c r="P240" s="7" t="str">
        <f t="shared" si="107"/>
        <v/>
      </c>
      <c r="Q240" s="2" t="str">
        <f t="shared" si="108"/>
        <v/>
      </c>
      <c r="R240" s="9" t="s">
        <v>36</v>
      </c>
      <c r="S240" s="9"/>
    </row>
    <row r="241" spans="1:19" ht="16" x14ac:dyDescent="0.2">
      <c r="A241" s="1" t="s">
        <v>341</v>
      </c>
      <c r="B241" s="9"/>
      <c r="C241" s="9"/>
      <c r="D241" s="9"/>
      <c r="E241" s="9"/>
      <c r="F241" s="9"/>
      <c r="G241" s="10"/>
      <c r="H241" s="10"/>
      <c r="I241" s="10"/>
      <c r="J241" s="7" t="str">
        <f t="shared" si="102"/>
        <v/>
      </c>
      <c r="K241" s="7" t="str">
        <f t="shared" si="103"/>
        <v/>
      </c>
      <c r="L241" s="7" t="str">
        <f t="shared" si="104"/>
        <v/>
      </c>
      <c r="M241" s="7" t="str">
        <f t="shared" si="105"/>
        <v/>
      </c>
      <c r="N241" s="7" t="str">
        <f t="shared" si="106"/>
        <v/>
      </c>
      <c r="O241" s="10"/>
      <c r="P241" s="7" t="str">
        <f t="shared" si="107"/>
        <v/>
      </c>
      <c r="Q241" s="2" t="str">
        <f t="shared" si="108"/>
        <v/>
      </c>
      <c r="R241" s="9" t="s">
        <v>36</v>
      </c>
      <c r="S241" s="9"/>
    </row>
    <row r="242" spans="1:19" ht="16" x14ac:dyDescent="0.2">
      <c r="A242" s="1" t="s">
        <v>342</v>
      </c>
      <c r="B242" s="9"/>
      <c r="C242" s="9"/>
      <c r="D242" s="9"/>
      <c r="E242" s="9"/>
      <c r="F242" s="9"/>
      <c r="G242" s="10"/>
      <c r="H242" s="10"/>
      <c r="I242" s="10"/>
      <c r="J242" s="7" t="str">
        <f t="shared" si="102"/>
        <v/>
      </c>
      <c r="K242" s="7" t="str">
        <f t="shared" si="103"/>
        <v/>
      </c>
      <c r="L242" s="7" t="str">
        <f t="shared" si="104"/>
        <v/>
      </c>
      <c r="M242" s="7" t="str">
        <f t="shared" si="105"/>
        <v/>
      </c>
      <c r="N242" s="7" t="str">
        <f t="shared" si="106"/>
        <v/>
      </c>
      <c r="O242" s="10"/>
      <c r="P242" s="7" t="str">
        <f t="shared" si="107"/>
        <v/>
      </c>
      <c r="Q242" s="2" t="str">
        <f t="shared" si="108"/>
        <v/>
      </c>
      <c r="R242" s="9" t="s">
        <v>36</v>
      </c>
      <c r="S242" s="9"/>
    </row>
    <row r="243" spans="1:19" ht="16" x14ac:dyDescent="0.2">
      <c r="A243" s="1" t="s">
        <v>343</v>
      </c>
      <c r="B243" s="9"/>
      <c r="C243" s="9"/>
      <c r="D243" s="9"/>
      <c r="E243" s="9"/>
      <c r="F243" s="9"/>
      <c r="G243" s="10"/>
      <c r="H243" s="10"/>
      <c r="I243" s="10"/>
      <c r="J243" s="7" t="str">
        <f t="shared" si="102"/>
        <v/>
      </c>
      <c r="K243" s="7" t="str">
        <f t="shared" si="103"/>
        <v/>
      </c>
      <c r="L243" s="7" t="str">
        <f t="shared" si="104"/>
        <v/>
      </c>
      <c r="M243" s="7" t="str">
        <f t="shared" si="105"/>
        <v/>
      </c>
      <c r="N243" s="7" t="str">
        <f t="shared" si="106"/>
        <v/>
      </c>
      <c r="O243" s="10"/>
      <c r="P243" s="7" t="str">
        <f t="shared" si="107"/>
        <v/>
      </c>
      <c r="Q243" s="2" t="str">
        <f t="shared" si="108"/>
        <v/>
      </c>
      <c r="R243" s="9" t="s">
        <v>36</v>
      </c>
      <c r="S243" s="9"/>
    </row>
    <row r="244" spans="1:19" ht="16" x14ac:dyDescent="0.2">
      <c r="A244" s="1" t="s">
        <v>344</v>
      </c>
      <c r="B244" s="9"/>
      <c r="C244" s="9"/>
      <c r="D244" s="9"/>
      <c r="E244" s="9"/>
      <c r="F244" s="9"/>
      <c r="G244" s="10"/>
      <c r="H244" s="10"/>
      <c r="I244" s="10"/>
      <c r="J244" s="7" t="str">
        <f t="shared" si="102"/>
        <v/>
      </c>
      <c r="K244" s="7" t="str">
        <f t="shared" si="103"/>
        <v/>
      </c>
      <c r="L244" s="7" t="str">
        <f t="shared" si="104"/>
        <v/>
      </c>
      <c r="M244" s="7" t="str">
        <f t="shared" si="105"/>
        <v/>
      </c>
      <c r="N244" s="7" t="str">
        <f t="shared" si="106"/>
        <v/>
      </c>
      <c r="O244" s="10"/>
      <c r="P244" s="7" t="str">
        <f t="shared" si="107"/>
        <v/>
      </c>
      <c r="Q244" s="2" t="str">
        <f t="shared" si="108"/>
        <v/>
      </c>
      <c r="R244" s="9" t="s">
        <v>36</v>
      </c>
      <c r="S244" s="9"/>
    </row>
    <row r="245" spans="1:19" ht="16" x14ac:dyDescent="0.2">
      <c r="A245" s="1" t="s">
        <v>345</v>
      </c>
      <c r="B245" s="9"/>
      <c r="C245" s="9"/>
      <c r="D245" s="9"/>
      <c r="E245" s="9"/>
      <c r="F245" s="9"/>
      <c r="G245" s="10"/>
      <c r="H245" s="10"/>
      <c r="I245" s="10"/>
      <c r="J245" s="7" t="str">
        <f t="shared" si="102"/>
        <v/>
      </c>
      <c r="K245" s="7" t="str">
        <f t="shared" si="103"/>
        <v/>
      </c>
      <c r="L245" s="7" t="str">
        <f t="shared" si="104"/>
        <v/>
      </c>
      <c r="M245" s="7" t="str">
        <f t="shared" si="105"/>
        <v/>
      </c>
      <c r="N245" s="7" t="str">
        <f t="shared" si="106"/>
        <v/>
      </c>
      <c r="O245" s="10"/>
      <c r="P245" s="7" t="str">
        <f t="shared" si="107"/>
        <v/>
      </c>
      <c r="Q245" s="2" t="str">
        <f t="shared" si="108"/>
        <v/>
      </c>
      <c r="R245" s="9" t="s">
        <v>36</v>
      </c>
      <c r="S245" s="9"/>
    </row>
    <row r="246" spans="1:19" ht="16" x14ac:dyDescent="0.2">
      <c r="A246" s="1" t="s">
        <v>346</v>
      </c>
      <c r="B246" s="9"/>
      <c r="C246" s="9"/>
      <c r="D246" s="9"/>
      <c r="E246" s="9"/>
      <c r="F246" s="9"/>
      <c r="G246" s="10"/>
      <c r="H246" s="10"/>
      <c r="I246" s="10"/>
      <c r="J246" s="7" t="str">
        <f t="shared" si="102"/>
        <v/>
      </c>
      <c r="K246" s="7" t="str">
        <f t="shared" si="103"/>
        <v/>
      </c>
      <c r="L246" s="7" t="str">
        <f t="shared" si="104"/>
        <v/>
      </c>
      <c r="M246" s="7" t="str">
        <f t="shared" si="105"/>
        <v/>
      </c>
      <c r="N246" s="7" t="str">
        <f t="shared" si="106"/>
        <v/>
      </c>
      <c r="O246" s="10"/>
      <c r="P246" s="7" t="str">
        <f t="shared" si="107"/>
        <v/>
      </c>
      <c r="Q246" s="2" t="str">
        <f t="shared" si="108"/>
        <v/>
      </c>
      <c r="R246" s="9" t="s">
        <v>36</v>
      </c>
      <c r="S246" s="9"/>
    </row>
    <row r="247" spans="1:19" ht="16" x14ac:dyDescent="0.2">
      <c r="A247" s="1" t="s">
        <v>347</v>
      </c>
      <c r="B247" s="9"/>
      <c r="C247" s="9"/>
      <c r="D247" s="9"/>
      <c r="E247" s="9"/>
      <c r="F247" s="9"/>
      <c r="G247" s="10"/>
      <c r="H247" s="10"/>
      <c r="I247" s="10"/>
      <c r="J247" s="7" t="str">
        <f t="shared" si="102"/>
        <v/>
      </c>
      <c r="K247" s="7" t="str">
        <f t="shared" si="103"/>
        <v/>
      </c>
      <c r="L247" s="7" t="str">
        <f t="shared" si="104"/>
        <v/>
      </c>
      <c r="M247" s="7" t="str">
        <f t="shared" si="105"/>
        <v/>
      </c>
      <c r="N247" s="7" t="str">
        <f t="shared" si="106"/>
        <v/>
      </c>
      <c r="O247" s="10"/>
      <c r="P247" s="7" t="str">
        <f t="shared" si="107"/>
        <v/>
      </c>
      <c r="Q247" s="2" t="str">
        <f t="shared" si="108"/>
        <v/>
      </c>
      <c r="R247" s="9" t="s">
        <v>36</v>
      </c>
      <c r="S247" s="9"/>
    </row>
    <row r="248" spans="1:19" ht="16" x14ac:dyDescent="0.2">
      <c r="A248" s="1" t="s">
        <v>348</v>
      </c>
      <c r="B248" s="9"/>
      <c r="C248" s="9"/>
      <c r="D248" s="9"/>
      <c r="E248" s="9"/>
      <c r="F248" s="9"/>
      <c r="G248" s="10"/>
      <c r="H248" s="10"/>
      <c r="I248" s="10"/>
      <c r="J248" s="7" t="str">
        <f t="shared" si="102"/>
        <v/>
      </c>
      <c r="K248" s="7" t="str">
        <f t="shared" si="103"/>
        <v/>
      </c>
      <c r="L248" s="7" t="str">
        <f t="shared" si="104"/>
        <v/>
      </c>
      <c r="M248" s="7" t="str">
        <f t="shared" si="105"/>
        <v/>
      </c>
      <c r="N248" s="7" t="str">
        <f t="shared" si="106"/>
        <v/>
      </c>
      <c r="O248" s="10"/>
      <c r="P248" s="7" t="str">
        <f t="shared" si="107"/>
        <v/>
      </c>
      <c r="Q248" s="2" t="str">
        <f t="shared" si="108"/>
        <v/>
      </c>
      <c r="R248" s="9" t="s">
        <v>36</v>
      </c>
      <c r="S248" s="9"/>
    </row>
    <row r="249" spans="1:19" ht="16" x14ac:dyDescent="0.2">
      <c r="A249" s="1" t="s">
        <v>349</v>
      </c>
      <c r="B249" s="9"/>
      <c r="C249" s="9"/>
      <c r="D249" s="9"/>
      <c r="E249" s="9"/>
      <c r="F249" s="9"/>
      <c r="G249" s="10"/>
      <c r="H249" s="10"/>
      <c r="I249" s="10"/>
      <c r="J249" s="7" t="str">
        <f t="shared" si="102"/>
        <v/>
      </c>
      <c r="K249" s="7" t="str">
        <f t="shared" si="103"/>
        <v/>
      </c>
      <c r="L249" s="7" t="str">
        <f t="shared" si="104"/>
        <v/>
      </c>
      <c r="M249" s="7" t="str">
        <f t="shared" si="105"/>
        <v/>
      </c>
      <c r="N249" s="7" t="str">
        <f t="shared" si="106"/>
        <v/>
      </c>
      <c r="O249" s="10"/>
      <c r="P249" s="7" t="str">
        <f t="shared" si="107"/>
        <v/>
      </c>
      <c r="Q249" s="2" t="str">
        <f t="shared" si="108"/>
        <v/>
      </c>
      <c r="R249" s="9" t="s">
        <v>36</v>
      </c>
      <c r="S249" s="9"/>
    </row>
    <row r="250" spans="1:19" ht="16" x14ac:dyDescent="0.2">
      <c r="A250" s="1" t="s">
        <v>350</v>
      </c>
      <c r="B250" s="9"/>
      <c r="C250" s="9"/>
      <c r="D250" s="9"/>
      <c r="E250" s="9"/>
      <c r="F250" s="9"/>
      <c r="G250" s="10"/>
      <c r="H250" s="10"/>
      <c r="I250" s="10"/>
      <c r="J250" s="7" t="str">
        <f t="shared" si="102"/>
        <v/>
      </c>
      <c r="K250" s="7" t="str">
        <f t="shared" si="103"/>
        <v/>
      </c>
      <c r="L250" s="7" t="str">
        <f t="shared" si="104"/>
        <v/>
      </c>
      <c r="M250" s="7" t="str">
        <f t="shared" si="105"/>
        <v/>
      </c>
      <c r="N250" s="7" t="str">
        <f t="shared" si="106"/>
        <v/>
      </c>
      <c r="O250" s="10"/>
      <c r="P250" s="7" t="str">
        <f t="shared" si="107"/>
        <v/>
      </c>
      <c r="Q250" s="2" t="str">
        <f t="shared" si="108"/>
        <v/>
      </c>
      <c r="R250" s="9" t="s">
        <v>36</v>
      </c>
      <c r="S250" s="9"/>
    </row>
    <row r="251" spans="1:19" ht="16" x14ac:dyDescent="0.2">
      <c r="A251" s="1" t="s">
        <v>351</v>
      </c>
      <c r="B251" s="9"/>
      <c r="C251" s="9"/>
      <c r="D251" s="9"/>
      <c r="E251" s="9"/>
      <c r="F251" s="9"/>
      <c r="G251" s="10"/>
      <c r="H251" s="10"/>
      <c r="I251" s="10"/>
      <c r="J251" s="7" t="str">
        <f t="shared" si="102"/>
        <v/>
      </c>
      <c r="K251" s="7" t="str">
        <f t="shared" si="103"/>
        <v/>
      </c>
      <c r="L251" s="7" t="str">
        <f t="shared" si="104"/>
        <v/>
      </c>
      <c r="M251" s="7" t="str">
        <f t="shared" si="105"/>
        <v/>
      </c>
      <c r="N251" s="7" t="str">
        <f t="shared" si="106"/>
        <v/>
      </c>
      <c r="O251" s="10"/>
      <c r="P251" s="7" t="str">
        <f t="shared" si="107"/>
        <v/>
      </c>
      <c r="Q251" s="2" t="str">
        <f t="shared" si="108"/>
        <v/>
      </c>
      <c r="R251" s="9" t="s">
        <v>36</v>
      </c>
      <c r="S251" s="9"/>
    </row>
    <row r="252" spans="1:19" ht="16" x14ac:dyDescent="0.2">
      <c r="A252" s="1" t="s">
        <v>352</v>
      </c>
      <c r="B252" s="9"/>
      <c r="C252" s="9"/>
      <c r="D252" s="9"/>
      <c r="E252" s="9"/>
      <c r="F252" s="9"/>
      <c r="G252" s="10"/>
      <c r="H252" s="10"/>
      <c r="I252" s="10"/>
      <c r="J252" s="7" t="str">
        <f t="shared" si="102"/>
        <v/>
      </c>
      <c r="K252" s="7" t="str">
        <f t="shared" si="103"/>
        <v/>
      </c>
      <c r="L252" s="7" t="str">
        <f t="shared" si="104"/>
        <v/>
      </c>
      <c r="M252" s="7" t="str">
        <f t="shared" si="105"/>
        <v/>
      </c>
      <c r="N252" s="7" t="str">
        <f t="shared" si="106"/>
        <v/>
      </c>
      <c r="O252" s="10"/>
      <c r="P252" s="7" t="str">
        <f t="shared" si="107"/>
        <v/>
      </c>
      <c r="Q252" s="2" t="str">
        <f t="shared" si="108"/>
        <v/>
      </c>
      <c r="R252" s="9" t="s">
        <v>36</v>
      </c>
      <c r="S252" s="9"/>
    </row>
    <row r="253" spans="1:19" ht="16" x14ac:dyDescent="0.2">
      <c r="A253" s="1" t="s">
        <v>353</v>
      </c>
      <c r="B253" s="9"/>
      <c r="C253" s="9"/>
      <c r="D253" s="9"/>
      <c r="E253" s="9"/>
      <c r="F253" s="9"/>
      <c r="G253" s="10"/>
      <c r="H253" s="10"/>
      <c r="I253" s="10"/>
      <c r="J253" s="7" t="str">
        <f t="shared" si="102"/>
        <v/>
      </c>
      <c r="K253" s="7" t="str">
        <f t="shared" si="103"/>
        <v/>
      </c>
      <c r="L253" s="7" t="str">
        <f t="shared" si="104"/>
        <v/>
      </c>
      <c r="M253" s="7" t="str">
        <f t="shared" si="105"/>
        <v/>
      </c>
      <c r="N253" s="7" t="str">
        <f t="shared" si="106"/>
        <v/>
      </c>
      <c r="O253" s="10"/>
      <c r="P253" s="7" t="str">
        <f t="shared" si="107"/>
        <v/>
      </c>
      <c r="Q253" s="2" t="str">
        <f t="shared" si="108"/>
        <v/>
      </c>
      <c r="R253" s="9" t="s">
        <v>36</v>
      </c>
      <c r="S253" s="9"/>
    </row>
    <row r="254" spans="1:19" ht="16" x14ac:dyDescent="0.2">
      <c r="A254" s="1" t="s">
        <v>354</v>
      </c>
      <c r="B254" s="9"/>
      <c r="C254" s="9"/>
      <c r="D254" s="9"/>
      <c r="E254" s="9"/>
      <c r="F254" s="9"/>
      <c r="G254" s="10"/>
      <c r="H254" s="10"/>
      <c r="I254" s="10"/>
      <c r="J254" s="7" t="str">
        <f t="shared" si="102"/>
        <v/>
      </c>
      <c r="K254" s="7" t="str">
        <f t="shared" si="103"/>
        <v/>
      </c>
      <c r="L254" s="7" t="str">
        <f t="shared" si="104"/>
        <v/>
      </c>
      <c r="M254" s="7" t="str">
        <f t="shared" si="105"/>
        <v/>
      </c>
      <c r="N254" s="7" t="str">
        <f t="shared" si="106"/>
        <v/>
      </c>
      <c r="O254" s="10"/>
      <c r="P254" s="7" t="str">
        <f t="shared" si="107"/>
        <v/>
      </c>
      <c r="Q254" s="2" t="str">
        <f t="shared" si="108"/>
        <v/>
      </c>
      <c r="R254" s="9" t="s">
        <v>36</v>
      </c>
      <c r="S254" s="9"/>
    </row>
    <row r="255" spans="1:19" ht="16" x14ac:dyDescent="0.2">
      <c r="A255" s="1" t="s">
        <v>355</v>
      </c>
      <c r="B255" s="9"/>
      <c r="C255" s="9"/>
      <c r="D255" s="9"/>
      <c r="E255" s="9"/>
      <c r="F255" s="9"/>
      <c r="G255" s="10"/>
      <c r="H255" s="10"/>
      <c r="I255" s="10"/>
      <c r="J255" s="7" t="str">
        <f t="shared" si="102"/>
        <v/>
      </c>
      <c r="K255" s="7" t="str">
        <f t="shared" si="103"/>
        <v/>
      </c>
      <c r="L255" s="7" t="str">
        <f t="shared" si="104"/>
        <v/>
      </c>
      <c r="M255" s="7" t="str">
        <f t="shared" si="105"/>
        <v/>
      </c>
      <c r="N255" s="7" t="str">
        <f t="shared" si="106"/>
        <v/>
      </c>
      <c r="O255" s="10"/>
      <c r="P255" s="7" t="str">
        <f t="shared" si="107"/>
        <v/>
      </c>
      <c r="Q255" s="2" t="str">
        <f t="shared" si="108"/>
        <v/>
      </c>
      <c r="R255" s="9" t="s">
        <v>36</v>
      </c>
      <c r="S255" s="9"/>
    </row>
    <row r="256" spans="1:19" ht="16" x14ac:dyDescent="0.2">
      <c r="A256" s="1" t="s">
        <v>356</v>
      </c>
      <c r="B256" s="9"/>
      <c r="C256" s="9"/>
      <c r="D256" s="9"/>
      <c r="E256" s="9"/>
      <c r="F256" s="9"/>
      <c r="G256" s="10"/>
      <c r="H256" s="10"/>
      <c r="I256" s="10"/>
      <c r="J256" s="7" t="str">
        <f t="shared" si="102"/>
        <v/>
      </c>
      <c r="K256" s="7" t="str">
        <f t="shared" si="103"/>
        <v/>
      </c>
      <c r="L256" s="7" t="str">
        <f t="shared" si="104"/>
        <v/>
      </c>
      <c r="M256" s="7" t="str">
        <f t="shared" si="105"/>
        <v/>
      </c>
      <c r="N256" s="7" t="str">
        <f t="shared" si="106"/>
        <v/>
      </c>
      <c r="O256" s="10"/>
      <c r="P256" s="7" t="str">
        <f t="shared" si="107"/>
        <v/>
      </c>
      <c r="Q256" s="2" t="str">
        <f t="shared" si="108"/>
        <v/>
      </c>
      <c r="R256" s="9" t="s">
        <v>36</v>
      </c>
      <c r="S256" s="9"/>
    </row>
    <row r="257" spans="1:19" ht="16" x14ac:dyDescent="0.2">
      <c r="A257" s="1" t="s">
        <v>357</v>
      </c>
      <c r="B257" s="9"/>
      <c r="C257" s="9"/>
      <c r="D257" s="9"/>
      <c r="E257" s="9"/>
      <c r="F257" s="9"/>
      <c r="G257" s="10"/>
      <c r="H257" s="10"/>
      <c r="I257" s="10"/>
      <c r="J257" s="7" t="str">
        <f t="shared" si="102"/>
        <v/>
      </c>
      <c r="K257" s="7" t="str">
        <f t="shared" si="103"/>
        <v/>
      </c>
      <c r="L257" s="7" t="str">
        <f t="shared" si="104"/>
        <v/>
      </c>
      <c r="M257" s="7" t="str">
        <f t="shared" si="105"/>
        <v/>
      </c>
      <c r="N257" s="7" t="str">
        <f t="shared" si="106"/>
        <v/>
      </c>
      <c r="O257" s="10"/>
      <c r="P257" s="7" t="str">
        <f t="shared" si="107"/>
        <v/>
      </c>
      <c r="Q257" s="2" t="str">
        <f t="shared" si="108"/>
        <v/>
      </c>
      <c r="R257" s="9" t="s">
        <v>36</v>
      </c>
      <c r="S257" s="9"/>
    </row>
    <row r="258" spans="1:19" ht="16" x14ac:dyDescent="0.2">
      <c r="A258" s="1" t="s">
        <v>358</v>
      </c>
      <c r="B258" s="9"/>
      <c r="C258" s="9"/>
      <c r="D258" s="9"/>
      <c r="E258" s="9"/>
      <c r="F258" s="9"/>
      <c r="G258" s="10"/>
      <c r="H258" s="10"/>
      <c r="I258" s="10"/>
      <c r="J258" s="7" t="str">
        <f t="shared" ref="J258:J321" si="109">IF(COUNT(G258:I258)=0,"",ROUND(AVERAGE(G258:I258),0))</f>
        <v/>
      </c>
      <c r="K258" s="7" t="str">
        <f t="shared" ref="K258:K321" si="110">IF(J258="","",ROUND(J258/10,0)*10)</f>
        <v/>
      </c>
      <c r="L258" s="7" t="str">
        <f t="shared" ref="L258:L321" si="111">IF(K258="","",ROUND(K258*0.95/10,0)*10)</f>
        <v/>
      </c>
      <c r="M258" s="7" t="str">
        <f t="shared" ref="M258:M321" si="112">IF(K258="","",ROUND(K258*0.92/10,0)*10)</f>
        <v/>
      </c>
      <c r="N258" s="7" t="str">
        <f t="shared" ref="N258:N321" si="113">IF(K258="","",ROUND(K258*0.88/10,0)*10)</f>
        <v/>
      </c>
      <c r="O258" s="10"/>
      <c r="P258" s="7" t="str">
        <f t="shared" ref="P258:P321" si="114">IF(OR(K258="",O258=""),"",K258-O258)</f>
        <v/>
      </c>
      <c r="Q258" s="2" t="str">
        <f t="shared" ref="Q258:Q321" si="115">IF(OR(K258="",O258="",K258=0),"",P258/K258)</f>
        <v/>
      </c>
      <c r="R258" s="9" t="s">
        <v>36</v>
      </c>
      <c r="S258" s="9"/>
    </row>
    <row r="259" spans="1:19" ht="16" x14ac:dyDescent="0.2">
      <c r="A259" s="1" t="s">
        <v>359</v>
      </c>
      <c r="B259" s="9"/>
      <c r="C259" s="9"/>
      <c r="D259" s="9"/>
      <c r="E259" s="9"/>
      <c r="F259" s="9"/>
      <c r="G259" s="10"/>
      <c r="H259" s="10"/>
      <c r="I259" s="10"/>
      <c r="J259" s="7" t="str">
        <f t="shared" si="109"/>
        <v/>
      </c>
      <c r="K259" s="7" t="str">
        <f t="shared" si="110"/>
        <v/>
      </c>
      <c r="L259" s="7" t="str">
        <f t="shared" si="111"/>
        <v/>
      </c>
      <c r="M259" s="7" t="str">
        <f t="shared" si="112"/>
        <v/>
      </c>
      <c r="N259" s="7" t="str">
        <f t="shared" si="113"/>
        <v/>
      </c>
      <c r="O259" s="10"/>
      <c r="P259" s="7" t="str">
        <f t="shared" si="114"/>
        <v/>
      </c>
      <c r="Q259" s="2" t="str">
        <f t="shared" si="115"/>
        <v/>
      </c>
      <c r="R259" s="9" t="s">
        <v>36</v>
      </c>
      <c r="S259" s="9"/>
    </row>
    <row r="260" spans="1:19" ht="16" x14ac:dyDescent="0.2">
      <c r="A260" s="1" t="s">
        <v>360</v>
      </c>
      <c r="B260" s="9"/>
      <c r="C260" s="9"/>
      <c r="D260" s="9"/>
      <c r="E260" s="9"/>
      <c r="F260" s="9"/>
      <c r="G260" s="10"/>
      <c r="H260" s="10"/>
      <c r="I260" s="10"/>
      <c r="J260" s="7" t="str">
        <f t="shared" si="109"/>
        <v/>
      </c>
      <c r="K260" s="7" t="str">
        <f t="shared" si="110"/>
        <v/>
      </c>
      <c r="L260" s="7" t="str">
        <f t="shared" si="111"/>
        <v/>
      </c>
      <c r="M260" s="7" t="str">
        <f t="shared" si="112"/>
        <v/>
      </c>
      <c r="N260" s="7" t="str">
        <f t="shared" si="113"/>
        <v/>
      </c>
      <c r="O260" s="10"/>
      <c r="P260" s="7" t="str">
        <f t="shared" si="114"/>
        <v/>
      </c>
      <c r="Q260" s="2" t="str">
        <f t="shared" si="115"/>
        <v/>
      </c>
      <c r="R260" s="9" t="s">
        <v>36</v>
      </c>
      <c r="S260" s="9"/>
    </row>
    <row r="261" spans="1:19" ht="16" x14ac:dyDescent="0.2">
      <c r="A261" s="1" t="s">
        <v>361</v>
      </c>
      <c r="B261" s="9"/>
      <c r="C261" s="9"/>
      <c r="D261" s="9"/>
      <c r="E261" s="9"/>
      <c r="F261" s="9"/>
      <c r="G261" s="10"/>
      <c r="H261" s="10"/>
      <c r="I261" s="10"/>
      <c r="J261" s="7" t="str">
        <f t="shared" si="109"/>
        <v/>
      </c>
      <c r="K261" s="7" t="str">
        <f t="shared" si="110"/>
        <v/>
      </c>
      <c r="L261" s="7" t="str">
        <f t="shared" si="111"/>
        <v/>
      </c>
      <c r="M261" s="7" t="str">
        <f t="shared" si="112"/>
        <v/>
      </c>
      <c r="N261" s="7" t="str">
        <f t="shared" si="113"/>
        <v/>
      </c>
      <c r="O261" s="10"/>
      <c r="P261" s="7" t="str">
        <f t="shared" si="114"/>
        <v/>
      </c>
      <c r="Q261" s="2" t="str">
        <f t="shared" si="115"/>
        <v/>
      </c>
      <c r="R261" s="9" t="s">
        <v>36</v>
      </c>
      <c r="S261" s="9"/>
    </row>
    <row r="262" spans="1:19" ht="16" x14ac:dyDescent="0.2">
      <c r="A262" s="1" t="s">
        <v>362</v>
      </c>
      <c r="B262" s="9"/>
      <c r="C262" s="9"/>
      <c r="D262" s="9"/>
      <c r="E262" s="9"/>
      <c r="F262" s="9"/>
      <c r="G262" s="10"/>
      <c r="H262" s="10"/>
      <c r="I262" s="10"/>
      <c r="J262" s="7" t="str">
        <f t="shared" si="109"/>
        <v/>
      </c>
      <c r="K262" s="7" t="str">
        <f t="shared" si="110"/>
        <v/>
      </c>
      <c r="L262" s="7" t="str">
        <f t="shared" si="111"/>
        <v/>
      </c>
      <c r="M262" s="7" t="str">
        <f t="shared" si="112"/>
        <v/>
      </c>
      <c r="N262" s="7" t="str">
        <f t="shared" si="113"/>
        <v/>
      </c>
      <c r="O262" s="10"/>
      <c r="P262" s="7" t="str">
        <f t="shared" si="114"/>
        <v/>
      </c>
      <c r="Q262" s="2" t="str">
        <f t="shared" si="115"/>
        <v/>
      </c>
      <c r="R262" s="9" t="s">
        <v>36</v>
      </c>
      <c r="S262" s="9"/>
    </row>
    <row r="263" spans="1:19" ht="16" x14ac:dyDescent="0.2">
      <c r="A263" s="1" t="s">
        <v>363</v>
      </c>
      <c r="B263" s="9"/>
      <c r="C263" s="9"/>
      <c r="D263" s="9"/>
      <c r="E263" s="9"/>
      <c r="F263" s="9"/>
      <c r="G263" s="10"/>
      <c r="H263" s="10"/>
      <c r="I263" s="10"/>
      <c r="J263" s="7" t="str">
        <f t="shared" si="109"/>
        <v/>
      </c>
      <c r="K263" s="7" t="str">
        <f t="shared" si="110"/>
        <v/>
      </c>
      <c r="L263" s="7" t="str">
        <f t="shared" si="111"/>
        <v/>
      </c>
      <c r="M263" s="7" t="str">
        <f t="shared" si="112"/>
        <v/>
      </c>
      <c r="N263" s="7" t="str">
        <f t="shared" si="113"/>
        <v/>
      </c>
      <c r="O263" s="10"/>
      <c r="P263" s="7" t="str">
        <f t="shared" si="114"/>
        <v/>
      </c>
      <c r="Q263" s="2" t="str">
        <f t="shared" si="115"/>
        <v/>
      </c>
      <c r="R263" s="9" t="s">
        <v>36</v>
      </c>
      <c r="S263" s="9"/>
    </row>
    <row r="264" spans="1:19" ht="16" x14ac:dyDescent="0.2">
      <c r="A264" s="1" t="s">
        <v>364</v>
      </c>
      <c r="B264" s="9"/>
      <c r="C264" s="9"/>
      <c r="D264" s="9"/>
      <c r="E264" s="9"/>
      <c r="F264" s="9"/>
      <c r="G264" s="10"/>
      <c r="H264" s="10"/>
      <c r="I264" s="10"/>
      <c r="J264" s="7" t="str">
        <f t="shared" si="109"/>
        <v/>
      </c>
      <c r="K264" s="7" t="str">
        <f t="shared" si="110"/>
        <v/>
      </c>
      <c r="L264" s="7" t="str">
        <f t="shared" si="111"/>
        <v/>
      </c>
      <c r="M264" s="7" t="str">
        <f t="shared" si="112"/>
        <v/>
      </c>
      <c r="N264" s="7" t="str">
        <f t="shared" si="113"/>
        <v/>
      </c>
      <c r="O264" s="10"/>
      <c r="P264" s="7" t="str">
        <f t="shared" si="114"/>
        <v/>
      </c>
      <c r="Q264" s="2" t="str">
        <f t="shared" si="115"/>
        <v/>
      </c>
      <c r="R264" s="9" t="s">
        <v>36</v>
      </c>
      <c r="S264" s="9"/>
    </row>
    <row r="265" spans="1:19" ht="16" x14ac:dyDescent="0.2">
      <c r="A265" s="1" t="s">
        <v>365</v>
      </c>
      <c r="B265" s="9"/>
      <c r="C265" s="9"/>
      <c r="D265" s="9"/>
      <c r="E265" s="9"/>
      <c r="F265" s="9"/>
      <c r="G265" s="10"/>
      <c r="H265" s="10"/>
      <c r="I265" s="10"/>
      <c r="J265" s="7" t="str">
        <f t="shared" si="109"/>
        <v/>
      </c>
      <c r="K265" s="7" t="str">
        <f t="shared" si="110"/>
        <v/>
      </c>
      <c r="L265" s="7" t="str">
        <f t="shared" si="111"/>
        <v/>
      </c>
      <c r="M265" s="7" t="str">
        <f t="shared" si="112"/>
        <v/>
      </c>
      <c r="N265" s="7" t="str">
        <f t="shared" si="113"/>
        <v/>
      </c>
      <c r="O265" s="10"/>
      <c r="P265" s="7" t="str">
        <f t="shared" si="114"/>
        <v/>
      </c>
      <c r="Q265" s="2" t="str">
        <f t="shared" si="115"/>
        <v/>
      </c>
      <c r="R265" s="9" t="s">
        <v>36</v>
      </c>
      <c r="S265" s="9"/>
    </row>
    <row r="266" spans="1:19" ht="16" x14ac:dyDescent="0.2">
      <c r="A266" s="1" t="s">
        <v>366</v>
      </c>
      <c r="B266" s="9"/>
      <c r="C266" s="9"/>
      <c r="D266" s="9"/>
      <c r="E266" s="9"/>
      <c r="F266" s="9"/>
      <c r="G266" s="10"/>
      <c r="H266" s="10"/>
      <c r="I266" s="10"/>
      <c r="J266" s="7" t="str">
        <f t="shared" si="109"/>
        <v/>
      </c>
      <c r="K266" s="7" t="str">
        <f t="shared" si="110"/>
        <v/>
      </c>
      <c r="L266" s="7" t="str">
        <f t="shared" si="111"/>
        <v/>
      </c>
      <c r="M266" s="7" t="str">
        <f t="shared" si="112"/>
        <v/>
      </c>
      <c r="N266" s="7" t="str">
        <f t="shared" si="113"/>
        <v/>
      </c>
      <c r="O266" s="10"/>
      <c r="P266" s="7" t="str">
        <f t="shared" si="114"/>
        <v/>
      </c>
      <c r="Q266" s="2" t="str">
        <f t="shared" si="115"/>
        <v/>
      </c>
      <c r="R266" s="9" t="s">
        <v>36</v>
      </c>
      <c r="S266" s="9"/>
    </row>
    <row r="267" spans="1:19" ht="16" x14ac:dyDescent="0.2">
      <c r="A267" s="1" t="s">
        <v>367</v>
      </c>
      <c r="B267" s="9"/>
      <c r="C267" s="9"/>
      <c r="D267" s="9"/>
      <c r="E267" s="9"/>
      <c r="F267" s="9"/>
      <c r="G267" s="10"/>
      <c r="H267" s="10"/>
      <c r="I267" s="10"/>
      <c r="J267" s="7" t="str">
        <f t="shared" si="109"/>
        <v/>
      </c>
      <c r="K267" s="7" t="str">
        <f t="shared" si="110"/>
        <v/>
      </c>
      <c r="L267" s="7" t="str">
        <f t="shared" si="111"/>
        <v/>
      </c>
      <c r="M267" s="7" t="str">
        <f t="shared" si="112"/>
        <v/>
      </c>
      <c r="N267" s="7" t="str">
        <f t="shared" si="113"/>
        <v/>
      </c>
      <c r="O267" s="10"/>
      <c r="P267" s="7" t="str">
        <f t="shared" si="114"/>
        <v/>
      </c>
      <c r="Q267" s="2" t="str">
        <f t="shared" si="115"/>
        <v/>
      </c>
      <c r="R267" s="9" t="s">
        <v>36</v>
      </c>
      <c r="S267" s="9"/>
    </row>
    <row r="268" spans="1:19" ht="16" x14ac:dyDescent="0.2">
      <c r="A268" s="1" t="s">
        <v>368</v>
      </c>
      <c r="B268" s="9"/>
      <c r="C268" s="9"/>
      <c r="D268" s="9"/>
      <c r="E268" s="9"/>
      <c r="F268" s="9"/>
      <c r="G268" s="10"/>
      <c r="H268" s="10"/>
      <c r="I268" s="10"/>
      <c r="J268" s="7" t="str">
        <f t="shared" si="109"/>
        <v/>
      </c>
      <c r="K268" s="7" t="str">
        <f t="shared" si="110"/>
        <v/>
      </c>
      <c r="L268" s="7" t="str">
        <f t="shared" si="111"/>
        <v/>
      </c>
      <c r="M268" s="7" t="str">
        <f t="shared" si="112"/>
        <v/>
      </c>
      <c r="N268" s="7" t="str">
        <f t="shared" si="113"/>
        <v/>
      </c>
      <c r="O268" s="10"/>
      <c r="P268" s="7" t="str">
        <f t="shared" si="114"/>
        <v/>
      </c>
      <c r="Q268" s="2" t="str">
        <f t="shared" si="115"/>
        <v/>
      </c>
      <c r="R268" s="9" t="s">
        <v>36</v>
      </c>
      <c r="S268" s="9"/>
    </row>
    <row r="269" spans="1:19" ht="16" x14ac:dyDescent="0.2">
      <c r="A269" s="1" t="s">
        <v>369</v>
      </c>
      <c r="B269" s="9"/>
      <c r="C269" s="9"/>
      <c r="D269" s="9"/>
      <c r="E269" s="9"/>
      <c r="F269" s="9"/>
      <c r="G269" s="10"/>
      <c r="H269" s="10"/>
      <c r="I269" s="10"/>
      <c r="J269" s="7" t="str">
        <f t="shared" si="109"/>
        <v/>
      </c>
      <c r="K269" s="7" t="str">
        <f t="shared" si="110"/>
        <v/>
      </c>
      <c r="L269" s="7" t="str">
        <f t="shared" si="111"/>
        <v/>
      </c>
      <c r="M269" s="7" t="str">
        <f t="shared" si="112"/>
        <v/>
      </c>
      <c r="N269" s="7" t="str">
        <f t="shared" si="113"/>
        <v/>
      </c>
      <c r="O269" s="10"/>
      <c r="P269" s="7" t="str">
        <f t="shared" si="114"/>
        <v/>
      </c>
      <c r="Q269" s="2" t="str">
        <f t="shared" si="115"/>
        <v/>
      </c>
      <c r="R269" s="9" t="s">
        <v>36</v>
      </c>
      <c r="S269" s="9"/>
    </row>
    <row r="270" spans="1:19" ht="16" x14ac:dyDescent="0.2">
      <c r="A270" s="1" t="s">
        <v>370</v>
      </c>
      <c r="B270" s="9"/>
      <c r="C270" s="9"/>
      <c r="D270" s="9"/>
      <c r="E270" s="9"/>
      <c r="F270" s="9"/>
      <c r="G270" s="10"/>
      <c r="H270" s="10"/>
      <c r="I270" s="10"/>
      <c r="J270" s="7" t="str">
        <f t="shared" si="109"/>
        <v/>
      </c>
      <c r="K270" s="7" t="str">
        <f t="shared" si="110"/>
        <v/>
      </c>
      <c r="L270" s="7" t="str">
        <f t="shared" si="111"/>
        <v/>
      </c>
      <c r="M270" s="7" t="str">
        <f t="shared" si="112"/>
        <v/>
      </c>
      <c r="N270" s="7" t="str">
        <f t="shared" si="113"/>
        <v/>
      </c>
      <c r="O270" s="10"/>
      <c r="P270" s="7" t="str">
        <f t="shared" si="114"/>
        <v/>
      </c>
      <c r="Q270" s="2" t="str">
        <f t="shared" si="115"/>
        <v/>
      </c>
      <c r="R270" s="9" t="s">
        <v>36</v>
      </c>
      <c r="S270" s="9"/>
    </row>
    <row r="271" spans="1:19" ht="16" x14ac:dyDescent="0.2">
      <c r="A271" s="1" t="s">
        <v>371</v>
      </c>
      <c r="B271" s="9"/>
      <c r="C271" s="9"/>
      <c r="D271" s="9"/>
      <c r="E271" s="9"/>
      <c r="F271" s="9"/>
      <c r="G271" s="10"/>
      <c r="H271" s="10"/>
      <c r="I271" s="10"/>
      <c r="J271" s="7" t="str">
        <f t="shared" si="109"/>
        <v/>
      </c>
      <c r="K271" s="7" t="str">
        <f t="shared" si="110"/>
        <v/>
      </c>
      <c r="L271" s="7" t="str">
        <f t="shared" si="111"/>
        <v/>
      </c>
      <c r="M271" s="7" t="str">
        <f t="shared" si="112"/>
        <v/>
      </c>
      <c r="N271" s="7" t="str">
        <f t="shared" si="113"/>
        <v/>
      </c>
      <c r="O271" s="10"/>
      <c r="P271" s="7" t="str">
        <f t="shared" si="114"/>
        <v/>
      </c>
      <c r="Q271" s="2" t="str">
        <f t="shared" si="115"/>
        <v/>
      </c>
      <c r="R271" s="9" t="s">
        <v>36</v>
      </c>
      <c r="S271" s="9"/>
    </row>
    <row r="272" spans="1:19" ht="16" x14ac:dyDescent="0.2">
      <c r="A272" s="1" t="s">
        <v>372</v>
      </c>
      <c r="B272" s="9"/>
      <c r="C272" s="9"/>
      <c r="D272" s="9"/>
      <c r="E272" s="9"/>
      <c r="F272" s="9"/>
      <c r="G272" s="10"/>
      <c r="H272" s="10"/>
      <c r="I272" s="10"/>
      <c r="J272" s="7" t="str">
        <f t="shared" si="109"/>
        <v/>
      </c>
      <c r="K272" s="7" t="str">
        <f t="shared" si="110"/>
        <v/>
      </c>
      <c r="L272" s="7" t="str">
        <f t="shared" si="111"/>
        <v/>
      </c>
      <c r="M272" s="7" t="str">
        <f t="shared" si="112"/>
        <v/>
      </c>
      <c r="N272" s="7" t="str">
        <f t="shared" si="113"/>
        <v/>
      </c>
      <c r="O272" s="10"/>
      <c r="P272" s="7" t="str">
        <f t="shared" si="114"/>
        <v/>
      </c>
      <c r="Q272" s="2" t="str">
        <f t="shared" si="115"/>
        <v/>
      </c>
      <c r="R272" s="9" t="s">
        <v>36</v>
      </c>
      <c r="S272" s="9"/>
    </row>
    <row r="273" spans="1:19" ht="16" x14ac:dyDescent="0.2">
      <c r="A273" s="1" t="s">
        <v>373</v>
      </c>
      <c r="B273" s="9"/>
      <c r="C273" s="9"/>
      <c r="D273" s="9"/>
      <c r="E273" s="9"/>
      <c r="F273" s="9"/>
      <c r="G273" s="10"/>
      <c r="H273" s="10"/>
      <c r="I273" s="10"/>
      <c r="J273" s="7" t="str">
        <f t="shared" si="109"/>
        <v/>
      </c>
      <c r="K273" s="7" t="str">
        <f t="shared" si="110"/>
        <v/>
      </c>
      <c r="L273" s="7" t="str">
        <f t="shared" si="111"/>
        <v/>
      </c>
      <c r="M273" s="7" t="str">
        <f t="shared" si="112"/>
        <v/>
      </c>
      <c r="N273" s="7" t="str">
        <f t="shared" si="113"/>
        <v/>
      </c>
      <c r="O273" s="10"/>
      <c r="P273" s="7" t="str">
        <f t="shared" si="114"/>
        <v/>
      </c>
      <c r="Q273" s="2" t="str">
        <f t="shared" si="115"/>
        <v/>
      </c>
      <c r="R273" s="9" t="s">
        <v>36</v>
      </c>
      <c r="S273" s="9"/>
    </row>
    <row r="274" spans="1:19" ht="16" x14ac:dyDescent="0.2">
      <c r="A274" s="1" t="s">
        <v>374</v>
      </c>
      <c r="B274" s="9"/>
      <c r="C274" s="9"/>
      <c r="D274" s="9"/>
      <c r="E274" s="9"/>
      <c r="F274" s="9"/>
      <c r="G274" s="10"/>
      <c r="H274" s="10"/>
      <c r="I274" s="10"/>
      <c r="J274" s="7" t="str">
        <f t="shared" si="109"/>
        <v/>
      </c>
      <c r="K274" s="7" t="str">
        <f t="shared" si="110"/>
        <v/>
      </c>
      <c r="L274" s="7" t="str">
        <f t="shared" si="111"/>
        <v/>
      </c>
      <c r="M274" s="7" t="str">
        <f t="shared" si="112"/>
        <v/>
      </c>
      <c r="N274" s="7" t="str">
        <f t="shared" si="113"/>
        <v/>
      </c>
      <c r="O274" s="10"/>
      <c r="P274" s="7" t="str">
        <f t="shared" si="114"/>
        <v/>
      </c>
      <c r="Q274" s="2" t="str">
        <f t="shared" si="115"/>
        <v/>
      </c>
      <c r="R274" s="9" t="s">
        <v>36</v>
      </c>
      <c r="S274" s="9"/>
    </row>
    <row r="275" spans="1:19" ht="16" x14ac:dyDescent="0.2">
      <c r="A275" s="1" t="s">
        <v>375</v>
      </c>
      <c r="B275" s="9"/>
      <c r="C275" s="9"/>
      <c r="D275" s="9"/>
      <c r="E275" s="9"/>
      <c r="F275" s="9"/>
      <c r="G275" s="10"/>
      <c r="H275" s="10"/>
      <c r="I275" s="10"/>
      <c r="J275" s="7" t="str">
        <f t="shared" si="109"/>
        <v/>
      </c>
      <c r="K275" s="7" t="str">
        <f t="shared" si="110"/>
        <v/>
      </c>
      <c r="L275" s="7" t="str">
        <f t="shared" si="111"/>
        <v/>
      </c>
      <c r="M275" s="7" t="str">
        <f t="shared" si="112"/>
        <v/>
      </c>
      <c r="N275" s="7" t="str">
        <f t="shared" si="113"/>
        <v/>
      </c>
      <c r="O275" s="10"/>
      <c r="P275" s="7" t="str">
        <f t="shared" si="114"/>
        <v/>
      </c>
      <c r="Q275" s="2" t="str">
        <f t="shared" si="115"/>
        <v/>
      </c>
      <c r="R275" s="9" t="s">
        <v>36</v>
      </c>
      <c r="S275" s="9"/>
    </row>
    <row r="276" spans="1:19" ht="16" x14ac:dyDescent="0.2">
      <c r="A276" s="1" t="s">
        <v>376</v>
      </c>
      <c r="B276" s="9"/>
      <c r="C276" s="9"/>
      <c r="D276" s="9"/>
      <c r="E276" s="9"/>
      <c r="F276" s="9"/>
      <c r="G276" s="10"/>
      <c r="H276" s="10"/>
      <c r="I276" s="10"/>
      <c r="J276" s="7" t="str">
        <f t="shared" si="109"/>
        <v/>
      </c>
      <c r="K276" s="7" t="str">
        <f t="shared" si="110"/>
        <v/>
      </c>
      <c r="L276" s="7" t="str">
        <f t="shared" si="111"/>
        <v/>
      </c>
      <c r="M276" s="7" t="str">
        <f t="shared" si="112"/>
        <v/>
      </c>
      <c r="N276" s="7" t="str">
        <f t="shared" si="113"/>
        <v/>
      </c>
      <c r="O276" s="10"/>
      <c r="P276" s="7" t="str">
        <f t="shared" si="114"/>
        <v/>
      </c>
      <c r="Q276" s="2" t="str">
        <f t="shared" si="115"/>
        <v/>
      </c>
      <c r="R276" s="9" t="s">
        <v>36</v>
      </c>
      <c r="S276" s="9"/>
    </row>
    <row r="277" spans="1:19" ht="16" x14ac:dyDescent="0.2">
      <c r="A277" s="1" t="s">
        <v>377</v>
      </c>
      <c r="B277" s="9"/>
      <c r="C277" s="9"/>
      <c r="D277" s="9"/>
      <c r="E277" s="9"/>
      <c r="F277" s="9"/>
      <c r="G277" s="10"/>
      <c r="H277" s="10"/>
      <c r="I277" s="10"/>
      <c r="J277" s="7" t="str">
        <f t="shared" si="109"/>
        <v/>
      </c>
      <c r="K277" s="7" t="str">
        <f t="shared" si="110"/>
        <v/>
      </c>
      <c r="L277" s="7" t="str">
        <f t="shared" si="111"/>
        <v/>
      </c>
      <c r="M277" s="7" t="str">
        <f t="shared" si="112"/>
        <v/>
      </c>
      <c r="N277" s="7" t="str">
        <f t="shared" si="113"/>
        <v/>
      </c>
      <c r="O277" s="10"/>
      <c r="P277" s="7" t="str">
        <f t="shared" si="114"/>
        <v/>
      </c>
      <c r="Q277" s="2" t="str">
        <f t="shared" si="115"/>
        <v/>
      </c>
      <c r="R277" s="9" t="s">
        <v>36</v>
      </c>
      <c r="S277" s="9"/>
    </row>
    <row r="278" spans="1:19" ht="16" x14ac:dyDescent="0.2">
      <c r="A278" s="1" t="s">
        <v>378</v>
      </c>
      <c r="B278" s="9"/>
      <c r="C278" s="9"/>
      <c r="D278" s="9"/>
      <c r="E278" s="9"/>
      <c r="F278" s="9"/>
      <c r="G278" s="10"/>
      <c r="H278" s="10"/>
      <c r="I278" s="10"/>
      <c r="J278" s="7" t="str">
        <f t="shared" si="109"/>
        <v/>
      </c>
      <c r="K278" s="7" t="str">
        <f t="shared" si="110"/>
        <v/>
      </c>
      <c r="L278" s="7" t="str">
        <f t="shared" si="111"/>
        <v/>
      </c>
      <c r="M278" s="7" t="str">
        <f t="shared" si="112"/>
        <v/>
      </c>
      <c r="N278" s="7" t="str">
        <f t="shared" si="113"/>
        <v/>
      </c>
      <c r="O278" s="10"/>
      <c r="P278" s="7" t="str">
        <f t="shared" si="114"/>
        <v/>
      </c>
      <c r="Q278" s="2" t="str">
        <f t="shared" si="115"/>
        <v/>
      </c>
      <c r="R278" s="9" t="s">
        <v>36</v>
      </c>
      <c r="S278" s="9"/>
    </row>
    <row r="279" spans="1:19" ht="16" x14ac:dyDescent="0.2">
      <c r="A279" s="1" t="s">
        <v>379</v>
      </c>
      <c r="B279" s="9"/>
      <c r="C279" s="9"/>
      <c r="D279" s="9"/>
      <c r="E279" s="9"/>
      <c r="F279" s="9"/>
      <c r="G279" s="10"/>
      <c r="H279" s="10"/>
      <c r="I279" s="10"/>
      <c r="J279" s="7" t="str">
        <f t="shared" si="109"/>
        <v/>
      </c>
      <c r="K279" s="7" t="str">
        <f t="shared" si="110"/>
        <v/>
      </c>
      <c r="L279" s="7" t="str">
        <f t="shared" si="111"/>
        <v/>
      </c>
      <c r="M279" s="7" t="str">
        <f t="shared" si="112"/>
        <v/>
      </c>
      <c r="N279" s="7" t="str">
        <f t="shared" si="113"/>
        <v/>
      </c>
      <c r="O279" s="10"/>
      <c r="P279" s="7" t="str">
        <f t="shared" si="114"/>
        <v/>
      </c>
      <c r="Q279" s="2" t="str">
        <f t="shared" si="115"/>
        <v/>
      </c>
      <c r="R279" s="9" t="s">
        <v>36</v>
      </c>
      <c r="S279" s="9"/>
    </row>
    <row r="280" spans="1:19" ht="16" x14ac:dyDescent="0.2">
      <c r="A280" s="1" t="s">
        <v>380</v>
      </c>
      <c r="B280" s="9"/>
      <c r="C280" s="9"/>
      <c r="D280" s="9"/>
      <c r="E280" s="9"/>
      <c r="F280" s="9"/>
      <c r="G280" s="10"/>
      <c r="H280" s="10"/>
      <c r="I280" s="10"/>
      <c r="J280" s="7" t="str">
        <f t="shared" si="109"/>
        <v/>
      </c>
      <c r="K280" s="7" t="str">
        <f t="shared" si="110"/>
        <v/>
      </c>
      <c r="L280" s="7" t="str">
        <f t="shared" si="111"/>
        <v/>
      </c>
      <c r="M280" s="7" t="str">
        <f t="shared" si="112"/>
        <v/>
      </c>
      <c r="N280" s="7" t="str">
        <f t="shared" si="113"/>
        <v/>
      </c>
      <c r="O280" s="10"/>
      <c r="P280" s="7" t="str">
        <f t="shared" si="114"/>
        <v/>
      </c>
      <c r="Q280" s="2" t="str">
        <f t="shared" si="115"/>
        <v/>
      </c>
      <c r="R280" s="9" t="s">
        <v>36</v>
      </c>
      <c r="S280" s="9"/>
    </row>
    <row r="281" spans="1:19" ht="16" x14ac:dyDescent="0.2">
      <c r="A281" s="1" t="s">
        <v>381</v>
      </c>
      <c r="B281" s="9"/>
      <c r="C281" s="9"/>
      <c r="D281" s="9"/>
      <c r="E281" s="9"/>
      <c r="F281" s="9"/>
      <c r="G281" s="10"/>
      <c r="H281" s="10"/>
      <c r="I281" s="10"/>
      <c r="J281" s="7" t="str">
        <f t="shared" si="109"/>
        <v/>
      </c>
      <c r="K281" s="7" t="str">
        <f t="shared" si="110"/>
        <v/>
      </c>
      <c r="L281" s="7" t="str">
        <f t="shared" si="111"/>
        <v/>
      </c>
      <c r="M281" s="7" t="str">
        <f t="shared" si="112"/>
        <v/>
      </c>
      <c r="N281" s="7" t="str">
        <f t="shared" si="113"/>
        <v/>
      </c>
      <c r="O281" s="10"/>
      <c r="P281" s="7" t="str">
        <f t="shared" si="114"/>
        <v/>
      </c>
      <c r="Q281" s="2" t="str">
        <f t="shared" si="115"/>
        <v/>
      </c>
      <c r="R281" s="9" t="s">
        <v>36</v>
      </c>
      <c r="S281" s="9"/>
    </row>
    <row r="282" spans="1:19" ht="16" x14ac:dyDescent="0.2">
      <c r="A282" s="1" t="s">
        <v>382</v>
      </c>
      <c r="B282" s="9"/>
      <c r="C282" s="9"/>
      <c r="D282" s="9"/>
      <c r="E282" s="9"/>
      <c r="F282" s="9"/>
      <c r="G282" s="10"/>
      <c r="H282" s="10"/>
      <c r="I282" s="10"/>
      <c r="J282" s="7" t="str">
        <f t="shared" si="109"/>
        <v/>
      </c>
      <c r="K282" s="7" t="str">
        <f t="shared" si="110"/>
        <v/>
      </c>
      <c r="L282" s="7" t="str">
        <f t="shared" si="111"/>
        <v/>
      </c>
      <c r="M282" s="7" t="str">
        <f t="shared" si="112"/>
        <v/>
      </c>
      <c r="N282" s="7" t="str">
        <f t="shared" si="113"/>
        <v/>
      </c>
      <c r="O282" s="10"/>
      <c r="P282" s="7" t="str">
        <f t="shared" si="114"/>
        <v/>
      </c>
      <c r="Q282" s="2" t="str">
        <f t="shared" si="115"/>
        <v/>
      </c>
      <c r="R282" s="9" t="s">
        <v>36</v>
      </c>
      <c r="S282" s="9"/>
    </row>
    <row r="283" spans="1:19" ht="16" x14ac:dyDescent="0.2">
      <c r="A283" s="1" t="s">
        <v>383</v>
      </c>
      <c r="B283" s="9"/>
      <c r="C283" s="9"/>
      <c r="D283" s="9"/>
      <c r="E283" s="9"/>
      <c r="F283" s="9"/>
      <c r="G283" s="10"/>
      <c r="H283" s="10"/>
      <c r="I283" s="10"/>
      <c r="J283" s="7" t="str">
        <f t="shared" si="109"/>
        <v/>
      </c>
      <c r="K283" s="7" t="str">
        <f t="shared" si="110"/>
        <v/>
      </c>
      <c r="L283" s="7" t="str">
        <f t="shared" si="111"/>
        <v/>
      </c>
      <c r="M283" s="7" t="str">
        <f t="shared" si="112"/>
        <v/>
      </c>
      <c r="N283" s="7" t="str">
        <f t="shared" si="113"/>
        <v/>
      </c>
      <c r="O283" s="10"/>
      <c r="P283" s="7" t="str">
        <f t="shared" si="114"/>
        <v/>
      </c>
      <c r="Q283" s="2" t="str">
        <f t="shared" si="115"/>
        <v/>
      </c>
      <c r="R283" s="9" t="s">
        <v>36</v>
      </c>
      <c r="S283" s="9"/>
    </row>
    <row r="284" spans="1:19" ht="16" x14ac:dyDescent="0.2">
      <c r="A284" s="1" t="s">
        <v>384</v>
      </c>
      <c r="B284" s="9"/>
      <c r="C284" s="9"/>
      <c r="D284" s="9"/>
      <c r="E284" s="9"/>
      <c r="F284" s="9"/>
      <c r="G284" s="10"/>
      <c r="H284" s="10"/>
      <c r="I284" s="10"/>
      <c r="J284" s="7" t="str">
        <f t="shared" si="109"/>
        <v/>
      </c>
      <c r="K284" s="7" t="str">
        <f t="shared" si="110"/>
        <v/>
      </c>
      <c r="L284" s="7" t="str">
        <f t="shared" si="111"/>
        <v/>
      </c>
      <c r="M284" s="7" t="str">
        <f t="shared" si="112"/>
        <v/>
      </c>
      <c r="N284" s="7" t="str">
        <f t="shared" si="113"/>
        <v/>
      </c>
      <c r="O284" s="10"/>
      <c r="P284" s="7" t="str">
        <f t="shared" si="114"/>
        <v/>
      </c>
      <c r="Q284" s="2" t="str">
        <f t="shared" si="115"/>
        <v/>
      </c>
      <c r="R284" s="9" t="s">
        <v>36</v>
      </c>
      <c r="S284" s="9"/>
    </row>
    <row r="285" spans="1:19" ht="16" x14ac:dyDescent="0.2">
      <c r="A285" s="1" t="s">
        <v>385</v>
      </c>
      <c r="B285" s="9"/>
      <c r="C285" s="9"/>
      <c r="D285" s="9"/>
      <c r="E285" s="9"/>
      <c r="F285" s="9"/>
      <c r="G285" s="10"/>
      <c r="H285" s="10"/>
      <c r="I285" s="10"/>
      <c r="J285" s="7" t="str">
        <f t="shared" si="109"/>
        <v/>
      </c>
      <c r="K285" s="7" t="str">
        <f t="shared" si="110"/>
        <v/>
      </c>
      <c r="L285" s="7" t="str">
        <f t="shared" si="111"/>
        <v/>
      </c>
      <c r="M285" s="7" t="str">
        <f t="shared" si="112"/>
        <v/>
      </c>
      <c r="N285" s="7" t="str">
        <f t="shared" si="113"/>
        <v/>
      </c>
      <c r="O285" s="10"/>
      <c r="P285" s="7" t="str">
        <f t="shared" si="114"/>
        <v/>
      </c>
      <c r="Q285" s="2" t="str">
        <f t="shared" si="115"/>
        <v/>
      </c>
      <c r="R285" s="9" t="s">
        <v>36</v>
      </c>
      <c r="S285" s="9"/>
    </row>
    <row r="286" spans="1:19" ht="16" x14ac:dyDescent="0.2">
      <c r="A286" s="1" t="s">
        <v>386</v>
      </c>
      <c r="B286" s="9"/>
      <c r="C286" s="9"/>
      <c r="D286" s="9"/>
      <c r="E286" s="9"/>
      <c r="F286" s="9"/>
      <c r="G286" s="10"/>
      <c r="H286" s="10"/>
      <c r="I286" s="10"/>
      <c r="J286" s="7" t="str">
        <f t="shared" si="109"/>
        <v/>
      </c>
      <c r="K286" s="7" t="str">
        <f t="shared" si="110"/>
        <v/>
      </c>
      <c r="L286" s="7" t="str">
        <f t="shared" si="111"/>
        <v/>
      </c>
      <c r="M286" s="7" t="str">
        <f t="shared" si="112"/>
        <v/>
      </c>
      <c r="N286" s="7" t="str">
        <f t="shared" si="113"/>
        <v/>
      </c>
      <c r="O286" s="10"/>
      <c r="P286" s="7" t="str">
        <f t="shared" si="114"/>
        <v/>
      </c>
      <c r="Q286" s="2" t="str">
        <f t="shared" si="115"/>
        <v/>
      </c>
      <c r="R286" s="9" t="s">
        <v>36</v>
      </c>
      <c r="S286" s="9"/>
    </row>
    <row r="287" spans="1:19" ht="16" x14ac:dyDescent="0.2">
      <c r="A287" s="1" t="s">
        <v>387</v>
      </c>
      <c r="B287" s="9"/>
      <c r="C287" s="9"/>
      <c r="D287" s="9"/>
      <c r="E287" s="9"/>
      <c r="F287" s="9"/>
      <c r="G287" s="10"/>
      <c r="H287" s="10"/>
      <c r="I287" s="10"/>
      <c r="J287" s="7" t="str">
        <f t="shared" si="109"/>
        <v/>
      </c>
      <c r="K287" s="7" t="str">
        <f t="shared" si="110"/>
        <v/>
      </c>
      <c r="L287" s="7" t="str">
        <f t="shared" si="111"/>
        <v/>
      </c>
      <c r="M287" s="7" t="str">
        <f t="shared" si="112"/>
        <v/>
      </c>
      <c r="N287" s="7" t="str">
        <f t="shared" si="113"/>
        <v/>
      </c>
      <c r="O287" s="10"/>
      <c r="P287" s="7" t="str">
        <f t="shared" si="114"/>
        <v/>
      </c>
      <c r="Q287" s="2" t="str">
        <f t="shared" si="115"/>
        <v/>
      </c>
      <c r="R287" s="9" t="s">
        <v>36</v>
      </c>
      <c r="S287" s="9"/>
    </row>
    <row r="288" spans="1:19" ht="16" x14ac:dyDescent="0.2">
      <c r="A288" s="1" t="s">
        <v>388</v>
      </c>
      <c r="B288" s="9"/>
      <c r="C288" s="9"/>
      <c r="D288" s="9"/>
      <c r="E288" s="9"/>
      <c r="F288" s="9"/>
      <c r="G288" s="10"/>
      <c r="H288" s="10"/>
      <c r="I288" s="10"/>
      <c r="J288" s="7" t="str">
        <f t="shared" si="109"/>
        <v/>
      </c>
      <c r="K288" s="7" t="str">
        <f t="shared" si="110"/>
        <v/>
      </c>
      <c r="L288" s="7" t="str">
        <f t="shared" si="111"/>
        <v/>
      </c>
      <c r="M288" s="7" t="str">
        <f t="shared" si="112"/>
        <v/>
      </c>
      <c r="N288" s="7" t="str">
        <f t="shared" si="113"/>
        <v/>
      </c>
      <c r="O288" s="10"/>
      <c r="P288" s="7" t="str">
        <f t="shared" si="114"/>
        <v/>
      </c>
      <c r="Q288" s="2" t="str">
        <f t="shared" si="115"/>
        <v/>
      </c>
      <c r="R288" s="9" t="s">
        <v>36</v>
      </c>
      <c r="S288" s="9"/>
    </row>
    <row r="289" spans="1:19" ht="16" x14ac:dyDescent="0.2">
      <c r="A289" s="1" t="s">
        <v>389</v>
      </c>
      <c r="B289" s="9"/>
      <c r="C289" s="9"/>
      <c r="D289" s="9"/>
      <c r="E289" s="9"/>
      <c r="F289" s="9"/>
      <c r="G289" s="10"/>
      <c r="H289" s="10"/>
      <c r="I289" s="10"/>
      <c r="J289" s="7" t="str">
        <f t="shared" si="109"/>
        <v/>
      </c>
      <c r="K289" s="7" t="str">
        <f t="shared" si="110"/>
        <v/>
      </c>
      <c r="L289" s="7" t="str">
        <f t="shared" si="111"/>
        <v/>
      </c>
      <c r="M289" s="7" t="str">
        <f t="shared" si="112"/>
        <v/>
      </c>
      <c r="N289" s="7" t="str">
        <f t="shared" si="113"/>
        <v/>
      </c>
      <c r="O289" s="10"/>
      <c r="P289" s="7" t="str">
        <f t="shared" si="114"/>
        <v/>
      </c>
      <c r="Q289" s="2" t="str">
        <f t="shared" si="115"/>
        <v/>
      </c>
      <c r="R289" s="9" t="s">
        <v>36</v>
      </c>
      <c r="S289" s="9"/>
    </row>
    <row r="290" spans="1:19" ht="16" x14ac:dyDescent="0.2">
      <c r="A290" s="1" t="s">
        <v>390</v>
      </c>
      <c r="B290" s="9"/>
      <c r="C290" s="9"/>
      <c r="D290" s="9"/>
      <c r="E290" s="9"/>
      <c r="F290" s="9"/>
      <c r="G290" s="10"/>
      <c r="H290" s="10"/>
      <c r="I290" s="10"/>
      <c r="J290" s="7" t="str">
        <f t="shared" si="109"/>
        <v/>
      </c>
      <c r="K290" s="7" t="str">
        <f t="shared" si="110"/>
        <v/>
      </c>
      <c r="L290" s="7" t="str">
        <f t="shared" si="111"/>
        <v/>
      </c>
      <c r="M290" s="7" t="str">
        <f t="shared" si="112"/>
        <v/>
      </c>
      <c r="N290" s="7" t="str">
        <f t="shared" si="113"/>
        <v/>
      </c>
      <c r="O290" s="10"/>
      <c r="P290" s="7" t="str">
        <f t="shared" si="114"/>
        <v/>
      </c>
      <c r="Q290" s="2" t="str">
        <f t="shared" si="115"/>
        <v/>
      </c>
      <c r="R290" s="9" t="s">
        <v>36</v>
      </c>
      <c r="S290" s="9"/>
    </row>
    <row r="291" spans="1:19" ht="16" x14ac:dyDescent="0.2">
      <c r="A291" s="1" t="s">
        <v>391</v>
      </c>
      <c r="B291" s="9"/>
      <c r="C291" s="9"/>
      <c r="D291" s="9"/>
      <c r="E291" s="9"/>
      <c r="F291" s="9"/>
      <c r="G291" s="10"/>
      <c r="H291" s="10"/>
      <c r="I291" s="10"/>
      <c r="J291" s="7" t="str">
        <f t="shared" si="109"/>
        <v/>
      </c>
      <c r="K291" s="7" t="str">
        <f t="shared" si="110"/>
        <v/>
      </c>
      <c r="L291" s="7" t="str">
        <f t="shared" si="111"/>
        <v/>
      </c>
      <c r="M291" s="7" t="str">
        <f t="shared" si="112"/>
        <v/>
      </c>
      <c r="N291" s="7" t="str">
        <f t="shared" si="113"/>
        <v/>
      </c>
      <c r="O291" s="10"/>
      <c r="P291" s="7" t="str">
        <f t="shared" si="114"/>
        <v/>
      </c>
      <c r="Q291" s="2" t="str">
        <f t="shared" si="115"/>
        <v/>
      </c>
      <c r="R291" s="9" t="s">
        <v>36</v>
      </c>
      <c r="S291" s="9"/>
    </row>
    <row r="292" spans="1:19" ht="16" x14ac:dyDescent="0.2">
      <c r="A292" s="1" t="s">
        <v>392</v>
      </c>
      <c r="B292" s="9"/>
      <c r="C292" s="9"/>
      <c r="D292" s="9"/>
      <c r="E292" s="9"/>
      <c r="F292" s="9"/>
      <c r="G292" s="10"/>
      <c r="H292" s="10"/>
      <c r="I292" s="10"/>
      <c r="J292" s="7" t="str">
        <f t="shared" si="109"/>
        <v/>
      </c>
      <c r="K292" s="7" t="str">
        <f t="shared" si="110"/>
        <v/>
      </c>
      <c r="L292" s="7" t="str">
        <f t="shared" si="111"/>
        <v/>
      </c>
      <c r="M292" s="7" t="str">
        <f t="shared" si="112"/>
        <v/>
      </c>
      <c r="N292" s="7" t="str">
        <f t="shared" si="113"/>
        <v/>
      </c>
      <c r="O292" s="10"/>
      <c r="P292" s="7" t="str">
        <f t="shared" si="114"/>
        <v/>
      </c>
      <c r="Q292" s="2" t="str">
        <f t="shared" si="115"/>
        <v/>
      </c>
      <c r="R292" s="9" t="s">
        <v>36</v>
      </c>
      <c r="S292" s="9"/>
    </row>
    <row r="293" spans="1:19" ht="16" x14ac:dyDescent="0.2">
      <c r="A293" s="1" t="s">
        <v>393</v>
      </c>
      <c r="B293" s="9"/>
      <c r="C293" s="9"/>
      <c r="D293" s="9"/>
      <c r="E293" s="9"/>
      <c r="F293" s="9"/>
      <c r="G293" s="10"/>
      <c r="H293" s="10"/>
      <c r="I293" s="10"/>
      <c r="J293" s="7" t="str">
        <f t="shared" si="109"/>
        <v/>
      </c>
      <c r="K293" s="7" t="str">
        <f t="shared" si="110"/>
        <v/>
      </c>
      <c r="L293" s="7" t="str">
        <f t="shared" si="111"/>
        <v/>
      </c>
      <c r="M293" s="7" t="str">
        <f t="shared" si="112"/>
        <v/>
      </c>
      <c r="N293" s="7" t="str">
        <f t="shared" si="113"/>
        <v/>
      </c>
      <c r="O293" s="10"/>
      <c r="P293" s="7" t="str">
        <f t="shared" si="114"/>
        <v/>
      </c>
      <c r="Q293" s="2" t="str">
        <f t="shared" si="115"/>
        <v/>
      </c>
      <c r="R293" s="9" t="s">
        <v>36</v>
      </c>
      <c r="S293" s="9"/>
    </row>
    <row r="294" spans="1:19" ht="16" x14ac:dyDescent="0.2">
      <c r="A294" s="1" t="s">
        <v>394</v>
      </c>
      <c r="B294" s="9"/>
      <c r="C294" s="9"/>
      <c r="D294" s="9"/>
      <c r="E294" s="9"/>
      <c r="F294" s="9"/>
      <c r="G294" s="10"/>
      <c r="H294" s="10"/>
      <c r="I294" s="10"/>
      <c r="J294" s="7" t="str">
        <f t="shared" si="109"/>
        <v/>
      </c>
      <c r="K294" s="7" t="str">
        <f t="shared" si="110"/>
        <v/>
      </c>
      <c r="L294" s="7" t="str">
        <f t="shared" si="111"/>
        <v/>
      </c>
      <c r="M294" s="7" t="str">
        <f t="shared" si="112"/>
        <v/>
      </c>
      <c r="N294" s="7" t="str">
        <f t="shared" si="113"/>
        <v/>
      </c>
      <c r="O294" s="10"/>
      <c r="P294" s="7" t="str">
        <f t="shared" si="114"/>
        <v/>
      </c>
      <c r="Q294" s="2" t="str">
        <f t="shared" si="115"/>
        <v/>
      </c>
      <c r="R294" s="9" t="s">
        <v>36</v>
      </c>
      <c r="S294" s="9"/>
    </row>
    <row r="295" spans="1:19" ht="16" x14ac:dyDescent="0.2">
      <c r="A295" s="1" t="s">
        <v>395</v>
      </c>
      <c r="B295" s="9"/>
      <c r="C295" s="9"/>
      <c r="D295" s="9"/>
      <c r="E295" s="9"/>
      <c r="F295" s="9"/>
      <c r="G295" s="10"/>
      <c r="H295" s="10"/>
      <c r="I295" s="10"/>
      <c r="J295" s="7" t="str">
        <f t="shared" si="109"/>
        <v/>
      </c>
      <c r="K295" s="7" t="str">
        <f t="shared" si="110"/>
        <v/>
      </c>
      <c r="L295" s="7" t="str">
        <f t="shared" si="111"/>
        <v/>
      </c>
      <c r="M295" s="7" t="str">
        <f t="shared" si="112"/>
        <v/>
      </c>
      <c r="N295" s="7" t="str">
        <f t="shared" si="113"/>
        <v/>
      </c>
      <c r="O295" s="10"/>
      <c r="P295" s="7" t="str">
        <f t="shared" si="114"/>
        <v/>
      </c>
      <c r="Q295" s="2" t="str">
        <f t="shared" si="115"/>
        <v/>
      </c>
      <c r="R295" s="9" t="s">
        <v>36</v>
      </c>
      <c r="S295" s="9"/>
    </row>
    <row r="296" spans="1:19" ht="16" x14ac:dyDescent="0.2">
      <c r="A296" s="1" t="s">
        <v>396</v>
      </c>
      <c r="B296" s="9"/>
      <c r="C296" s="9"/>
      <c r="D296" s="9"/>
      <c r="E296" s="9"/>
      <c r="F296" s="9"/>
      <c r="G296" s="10"/>
      <c r="H296" s="10"/>
      <c r="I296" s="10"/>
      <c r="J296" s="7" t="str">
        <f t="shared" si="109"/>
        <v/>
      </c>
      <c r="K296" s="7" t="str">
        <f t="shared" si="110"/>
        <v/>
      </c>
      <c r="L296" s="7" t="str">
        <f t="shared" si="111"/>
        <v/>
      </c>
      <c r="M296" s="7" t="str">
        <f t="shared" si="112"/>
        <v/>
      </c>
      <c r="N296" s="7" t="str">
        <f t="shared" si="113"/>
        <v/>
      </c>
      <c r="O296" s="10"/>
      <c r="P296" s="7" t="str">
        <f t="shared" si="114"/>
        <v/>
      </c>
      <c r="Q296" s="2" t="str">
        <f t="shared" si="115"/>
        <v/>
      </c>
      <c r="R296" s="9" t="s">
        <v>36</v>
      </c>
      <c r="S296" s="9"/>
    </row>
    <row r="297" spans="1:19" ht="16" x14ac:dyDescent="0.2">
      <c r="A297" s="1" t="s">
        <v>397</v>
      </c>
      <c r="B297" s="9"/>
      <c r="C297" s="9"/>
      <c r="D297" s="9"/>
      <c r="E297" s="9"/>
      <c r="F297" s="9"/>
      <c r="G297" s="10"/>
      <c r="H297" s="10"/>
      <c r="I297" s="10"/>
      <c r="J297" s="7" t="str">
        <f t="shared" si="109"/>
        <v/>
      </c>
      <c r="K297" s="7" t="str">
        <f t="shared" si="110"/>
        <v/>
      </c>
      <c r="L297" s="7" t="str">
        <f t="shared" si="111"/>
        <v/>
      </c>
      <c r="M297" s="7" t="str">
        <f t="shared" si="112"/>
        <v/>
      </c>
      <c r="N297" s="7" t="str">
        <f t="shared" si="113"/>
        <v/>
      </c>
      <c r="O297" s="10"/>
      <c r="P297" s="7" t="str">
        <f t="shared" si="114"/>
        <v/>
      </c>
      <c r="Q297" s="2" t="str">
        <f t="shared" si="115"/>
        <v/>
      </c>
      <c r="R297" s="9" t="s">
        <v>36</v>
      </c>
      <c r="S297" s="9"/>
    </row>
    <row r="298" spans="1:19" ht="16" x14ac:dyDescent="0.2">
      <c r="A298" s="1" t="s">
        <v>398</v>
      </c>
      <c r="B298" s="9"/>
      <c r="C298" s="9"/>
      <c r="D298" s="9"/>
      <c r="E298" s="9"/>
      <c r="F298" s="9"/>
      <c r="G298" s="10"/>
      <c r="H298" s="10"/>
      <c r="I298" s="10"/>
      <c r="J298" s="7" t="str">
        <f t="shared" si="109"/>
        <v/>
      </c>
      <c r="K298" s="7" t="str">
        <f t="shared" si="110"/>
        <v/>
      </c>
      <c r="L298" s="7" t="str">
        <f t="shared" si="111"/>
        <v/>
      </c>
      <c r="M298" s="7" t="str">
        <f t="shared" si="112"/>
        <v/>
      </c>
      <c r="N298" s="7" t="str">
        <f t="shared" si="113"/>
        <v/>
      </c>
      <c r="O298" s="10"/>
      <c r="P298" s="7" t="str">
        <f t="shared" si="114"/>
        <v/>
      </c>
      <c r="Q298" s="2" t="str">
        <f t="shared" si="115"/>
        <v/>
      </c>
      <c r="R298" s="9" t="s">
        <v>36</v>
      </c>
      <c r="S298" s="9"/>
    </row>
    <row r="299" spans="1:19" ht="16" x14ac:dyDescent="0.2">
      <c r="A299" s="1" t="s">
        <v>399</v>
      </c>
      <c r="B299" s="9"/>
      <c r="C299" s="9"/>
      <c r="D299" s="9"/>
      <c r="E299" s="9"/>
      <c r="F299" s="9"/>
      <c r="G299" s="10"/>
      <c r="H299" s="10"/>
      <c r="I299" s="10"/>
      <c r="J299" s="7" t="str">
        <f t="shared" si="109"/>
        <v/>
      </c>
      <c r="K299" s="7" t="str">
        <f t="shared" si="110"/>
        <v/>
      </c>
      <c r="L299" s="7" t="str">
        <f t="shared" si="111"/>
        <v/>
      </c>
      <c r="M299" s="7" t="str">
        <f t="shared" si="112"/>
        <v/>
      </c>
      <c r="N299" s="7" t="str">
        <f t="shared" si="113"/>
        <v/>
      </c>
      <c r="O299" s="10"/>
      <c r="P299" s="7" t="str">
        <f t="shared" si="114"/>
        <v/>
      </c>
      <c r="Q299" s="2" t="str">
        <f t="shared" si="115"/>
        <v/>
      </c>
      <c r="R299" s="9" t="s">
        <v>36</v>
      </c>
      <c r="S299" s="9"/>
    </row>
    <row r="300" spans="1:19" ht="16" x14ac:dyDescent="0.2">
      <c r="A300" s="1" t="s">
        <v>400</v>
      </c>
      <c r="B300" s="9"/>
      <c r="C300" s="9"/>
      <c r="D300" s="9"/>
      <c r="E300" s="9"/>
      <c r="F300" s="9"/>
      <c r="G300" s="10"/>
      <c r="H300" s="10"/>
      <c r="I300" s="10"/>
      <c r="J300" s="7" t="str">
        <f t="shared" si="109"/>
        <v/>
      </c>
      <c r="K300" s="7" t="str">
        <f t="shared" si="110"/>
        <v/>
      </c>
      <c r="L300" s="7" t="str">
        <f t="shared" si="111"/>
        <v/>
      </c>
      <c r="M300" s="7" t="str">
        <f t="shared" si="112"/>
        <v/>
      </c>
      <c r="N300" s="7" t="str">
        <f t="shared" si="113"/>
        <v/>
      </c>
      <c r="O300" s="10"/>
      <c r="P300" s="7" t="str">
        <f t="shared" si="114"/>
        <v/>
      </c>
      <c r="Q300" s="2" t="str">
        <f t="shared" si="115"/>
        <v/>
      </c>
      <c r="R300" s="9" t="s">
        <v>36</v>
      </c>
      <c r="S300" s="9"/>
    </row>
    <row r="301" spans="1:19" ht="16" x14ac:dyDescent="0.2">
      <c r="A301" s="1" t="s">
        <v>401</v>
      </c>
      <c r="B301" s="9"/>
      <c r="C301" s="9"/>
      <c r="D301" s="9"/>
      <c r="E301" s="9"/>
      <c r="F301" s="9"/>
      <c r="G301" s="10"/>
      <c r="H301" s="10"/>
      <c r="I301" s="10"/>
      <c r="J301" s="7" t="str">
        <f t="shared" si="109"/>
        <v/>
      </c>
      <c r="K301" s="7" t="str">
        <f t="shared" si="110"/>
        <v/>
      </c>
      <c r="L301" s="7" t="str">
        <f t="shared" si="111"/>
        <v/>
      </c>
      <c r="M301" s="7" t="str">
        <f t="shared" si="112"/>
        <v/>
      </c>
      <c r="N301" s="7" t="str">
        <f t="shared" si="113"/>
        <v/>
      </c>
      <c r="O301" s="10"/>
      <c r="P301" s="7" t="str">
        <f t="shared" si="114"/>
        <v/>
      </c>
      <c r="Q301" s="2" t="str">
        <f t="shared" si="115"/>
        <v/>
      </c>
      <c r="R301" s="9" t="s">
        <v>36</v>
      </c>
      <c r="S301" s="9"/>
    </row>
    <row r="302" spans="1:19" ht="16" x14ac:dyDescent="0.2">
      <c r="A302" s="1" t="s">
        <v>402</v>
      </c>
      <c r="B302" s="9"/>
      <c r="C302" s="9"/>
      <c r="D302" s="9"/>
      <c r="E302" s="9"/>
      <c r="F302" s="9"/>
      <c r="G302" s="10"/>
      <c r="H302" s="10"/>
      <c r="I302" s="10"/>
      <c r="J302" s="7" t="str">
        <f t="shared" si="109"/>
        <v/>
      </c>
      <c r="K302" s="7" t="str">
        <f t="shared" si="110"/>
        <v/>
      </c>
      <c r="L302" s="7" t="str">
        <f t="shared" si="111"/>
        <v/>
      </c>
      <c r="M302" s="7" t="str">
        <f t="shared" si="112"/>
        <v/>
      </c>
      <c r="N302" s="7" t="str">
        <f t="shared" si="113"/>
        <v/>
      </c>
      <c r="O302" s="10"/>
      <c r="P302" s="7" t="str">
        <f t="shared" si="114"/>
        <v/>
      </c>
      <c r="Q302" s="2" t="str">
        <f t="shared" si="115"/>
        <v/>
      </c>
      <c r="R302" s="9" t="s">
        <v>36</v>
      </c>
      <c r="S302" s="9"/>
    </row>
    <row r="303" spans="1:19" ht="16" x14ac:dyDescent="0.2">
      <c r="A303" s="1" t="s">
        <v>403</v>
      </c>
      <c r="B303" s="9"/>
      <c r="C303" s="9"/>
      <c r="D303" s="9"/>
      <c r="E303" s="9"/>
      <c r="F303" s="9"/>
      <c r="G303" s="10"/>
      <c r="H303" s="10"/>
      <c r="I303" s="10"/>
      <c r="J303" s="7" t="str">
        <f t="shared" si="109"/>
        <v/>
      </c>
      <c r="K303" s="7" t="str">
        <f t="shared" si="110"/>
        <v/>
      </c>
      <c r="L303" s="7" t="str">
        <f t="shared" si="111"/>
        <v/>
      </c>
      <c r="M303" s="7" t="str">
        <f t="shared" si="112"/>
        <v/>
      </c>
      <c r="N303" s="7" t="str">
        <f t="shared" si="113"/>
        <v/>
      </c>
      <c r="O303" s="10"/>
      <c r="P303" s="7" t="str">
        <f t="shared" si="114"/>
        <v/>
      </c>
      <c r="Q303" s="2" t="str">
        <f t="shared" si="115"/>
        <v/>
      </c>
      <c r="R303" s="9" t="s">
        <v>36</v>
      </c>
      <c r="S303" s="9"/>
    </row>
    <row r="304" spans="1:19" ht="16" x14ac:dyDescent="0.2">
      <c r="A304" s="1" t="s">
        <v>404</v>
      </c>
      <c r="B304" s="9"/>
      <c r="C304" s="9"/>
      <c r="D304" s="9"/>
      <c r="E304" s="9"/>
      <c r="F304" s="9"/>
      <c r="G304" s="10"/>
      <c r="H304" s="10"/>
      <c r="I304" s="10"/>
      <c r="J304" s="7" t="str">
        <f t="shared" si="109"/>
        <v/>
      </c>
      <c r="K304" s="7" t="str">
        <f t="shared" si="110"/>
        <v/>
      </c>
      <c r="L304" s="7" t="str">
        <f t="shared" si="111"/>
        <v/>
      </c>
      <c r="M304" s="7" t="str">
        <f t="shared" si="112"/>
        <v/>
      </c>
      <c r="N304" s="7" t="str">
        <f t="shared" si="113"/>
        <v/>
      </c>
      <c r="O304" s="10"/>
      <c r="P304" s="7" t="str">
        <f t="shared" si="114"/>
        <v/>
      </c>
      <c r="Q304" s="2" t="str">
        <f t="shared" si="115"/>
        <v/>
      </c>
      <c r="R304" s="9" t="s">
        <v>36</v>
      </c>
      <c r="S304" s="9"/>
    </row>
    <row r="305" spans="1:19" ht="16" x14ac:dyDescent="0.2">
      <c r="A305" s="1" t="s">
        <v>405</v>
      </c>
      <c r="B305" s="9"/>
      <c r="C305" s="9"/>
      <c r="D305" s="9"/>
      <c r="E305" s="9"/>
      <c r="F305" s="9"/>
      <c r="G305" s="10"/>
      <c r="H305" s="10"/>
      <c r="I305" s="10"/>
      <c r="J305" s="7" t="str">
        <f t="shared" si="109"/>
        <v/>
      </c>
      <c r="K305" s="7" t="str">
        <f t="shared" si="110"/>
        <v/>
      </c>
      <c r="L305" s="7" t="str">
        <f t="shared" si="111"/>
        <v/>
      </c>
      <c r="M305" s="7" t="str">
        <f t="shared" si="112"/>
        <v/>
      </c>
      <c r="N305" s="7" t="str">
        <f t="shared" si="113"/>
        <v/>
      </c>
      <c r="O305" s="10"/>
      <c r="P305" s="7" t="str">
        <f t="shared" si="114"/>
        <v/>
      </c>
      <c r="Q305" s="2" t="str">
        <f t="shared" si="115"/>
        <v/>
      </c>
      <c r="R305" s="9" t="s">
        <v>36</v>
      </c>
      <c r="S305" s="9"/>
    </row>
    <row r="306" spans="1:19" ht="16" x14ac:dyDescent="0.2">
      <c r="A306" s="1" t="s">
        <v>406</v>
      </c>
      <c r="B306" s="9"/>
      <c r="C306" s="9"/>
      <c r="D306" s="9"/>
      <c r="E306" s="9"/>
      <c r="F306" s="9"/>
      <c r="G306" s="10"/>
      <c r="H306" s="10"/>
      <c r="I306" s="10"/>
      <c r="J306" s="7" t="str">
        <f t="shared" si="109"/>
        <v/>
      </c>
      <c r="K306" s="7" t="str">
        <f t="shared" si="110"/>
        <v/>
      </c>
      <c r="L306" s="7" t="str">
        <f t="shared" si="111"/>
        <v/>
      </c>
      <c r="M306" s="7" t="str">
        <f t="shared" si="112"/>
        <v/>
      </c>
      <c r="N306" s="7" t="str">
        <f t="shared" si="113"/>
        <v/>
      </c>
      <c r="O306" s="10"/>
      <c r="P306" s="7" t="str">
        <f t="shared" si="114"/>
        <v/>
      </c>
      <c r="Q306" s="2" t="str">
        <f t="shared" si="115"/>
        <v/>
      </c>
      <c r="R306" s="9" t="s">
        <v>36</v>
      </c>
      <c r="S306" s="9"/>
    </row>
    <row r="307" spans="1:19" ht="16" x14ac:dyDescent="0.2">
      <c r="A307" s="1" t="s">
        <v>407</v>
      </c>
      <c r="B307" s="9"/>
      <c r="C307" s="9"/>
      <c r="D307" s="9"/>
      <c r="E307" s="9"/>
      <c r="F307" s="9"/>
      <c r="G307" s="10"/>
      <c r="H307" s="10"/>
      <c r="I307" s="10"/>
      <c r="J307" s="7" t="str">
        <f t="shared" si="109"/>
        <v/>
      </c>
      <c r="K307" s="7" t="str">
        <f t="shared" si="110"/>
        <v/>
      </c>
      <c r="L307" s="7" t="str">
        <f t="shared" si="111"/>
        <v/>
      </c>
      <c r="M307" s="7" t="str">
        <f t="shared" si="112"/>
        <v/>
      </c>
      <c r="N307" s="7" t="str">
        <f t="shared" si="113"/>
        <v/>
      </c>
      <c r="O307" s="10"/>
      <c r="P307" s="7" t="str">
        <f t="shared" si="114"/>
        <v/>
      </c>
      <c r="Q307" s="2" t="str">
        <f t="shared" si="115"/>
        <v/>
      </c>
      <c r="R307" s="9" t="s">
        <v>36</v>
      </c>
      <c r="S307" s="9"/>
    </row>
    <row r="308" spans="1:19" ht="16" x14ac:dyDescent="0.2">
      <c r="A308" s="1" t="s">
        <v>408</v>
      </c>
      <c r="B308" s="9"/>
      <c r="C308" s="9"/>
      <c r="D308" s="9"/>
      <c r="E308" s="9"/>
      <c r="F308" s="9"/>
      <c r="G308" s="10"/>
      <c r="H308" s="10"/>
      <c r="I308" s="10"/>
      <c r="J308" s="7" t="str">
        <f t="shared" si="109"/>
        <v/>
      </c>
      <c r="K308" s="7" t="str">
        <f t="shared" si="110"/>
        <v/>
      </c>
      <c r="L308" s="7" t="str">
        <f t="shared" si="111"/>
        <v/>
      </c>
      <c r="M308" s="7" t="str">
        <f t="shared" si="112"/>
        <v/>
      </c>
      <c r="N308" s="7" t="str">
        <f t="shared" si="113"/>
        <v/>
      </c>
      <c r="O308" s="10"/>
      <c r="P308" s="7" t="str">
        <f t="shared" si="114"/>
        <v/>
      </c>
      <c r="Q308" s="2" t="str">
        <f t="shared" si="115"/>
        <v/>
      </c>
      <c r="R308" s="9" t="s">
        <v>36</v>
      </c>
      <c r="S308" s="9"/>
    </row>
    <row r="309" spans="1:19" ht="16" x14ac:dyDescent="0.2">
      <c r="A309" s="1" t="s">
        <v>409</v>
      </c>
      <c r="B309" s="9"/>
      <c r="C309" s="9"/>
      <c r="D309" s="9"/>
      <c r="E309" s="9"/>
      <c r="F309" s="9"/>
      <c r="G309" s="10"/>
      <c r="H309" s="10"/>
      <c r="I309" s="10"/>
      <c r="J309" s="7" t="str">
        <f t="shared" si="109"/>
        <v/>
      </c>
      <c r="K309" s="7" t="str">
        <f t="shared" si="110"/>
        <v/>
      </c>
      <c r="L309" s="7" t="str">
        <f t="shared" si="111"/>
        <v/>
      </c>
      <c r="M309" s="7" t="str">
        <f t="shared" si="112"/>
        <v/>
      </c>
      <c r="N309" s="7" t="str">
        <f t="shared" si="113"/>
        <v/>
      </c>
      <c r="O309" s="10"/>
      <c r="P309" s="7" t="str">
        <f t="shared" si="114"/>
        <v/>
      </c>
      <c r="Q309" s="2" t="str">
        <f t="shared" si="115"/>
        <v/>
      </c>
      <c r="R309" s="9" t="s">
        <v>36</v>
      </c>
      <c r="S309" s="9"/>
    </row>
    <row r="310" spans="1:19" ht="16" x14ac:dyDescent="0.2">
      <c r="A310" s="1" t="s">
        <v>410</v>
      </c>
      <c r="B310" s="9"/>
      <c r="C310" s="9"/>
      <c r="D310" s="9"/>
      <c r="E310" s="9"/>
      <c r="F310" s="9"/>
      <c r="G310" s="10"/>
      <c r="H310" s="10"/>
      <c r="I310" s="10"/>
      <c r="J310" s="7" t="str">
        <f t="shared" si="109"/>
        <v/>
      </c>
      <c r="K310" s="7" t="str">
        <f t="shared" si="110"/>
        <v/>
      </c>
      <c r="L310" s="7" t="str">
        <f t="shared" si="111"/>
        <v/>
      </c>
      <c r="M310" s="7" t="str">
        <f t="shared" si="112"/>
        <v/>
      </c>
      <c r="N310" s="7" t="str">
        <f t="shared" si="113"/>
        <v/>
      </c>
      <c r="O310" s="10"/>
      <c r="P310" s="7" t="str">
        <f t="shared" si="114"/>
        <v/>
      </c>
      <c r="Q310" s="2" t="str">
        <f t="shared" si="115"/>
        <v/>
      </c>
      <c r="R310" s="9" t="s">
        <v>36</v>
      </c>
      <c r="S310" s="9"/>
    </row>
    <row r="311" spans="1:19" ht="16" x14ac:dyDescent="0.2">
      <c r="A311" s="1" t="s">
        <v>411</v>
      </c>
      <c r="B311" s="9"/>
      <c r="C311" s="9"/>
      <c r="D311" s="9"/>
      <c r="E311" s="9"/>
      <c r="F311" s="9"/>
      <c r="G311" s="10"/>
      <c r="H311" s="10"/>
      <c r="I311" s="10"/>
      <c r="J311" s="7" t="str">
        <f t="shared" si="109"/>
        <v/>
      </c>
      <c r="K311" s="7" t="str">
        <f t="shared" si="110"/>
        <v/>
      </c>
      <c r="L311" s="7" t="str">
        <f t="shared" si="111"/>
        <v/>
      </c>
      <c r="M311" s="7" t="str">
        <f t="shared" si="112"/>
        <v/>
      </c>
      <c r="N311" s="7" t="str">
        <f t="shared" si="113"/>
        <v/>
      </c>
      <c r="O311" s="10"/>
      <c r="P311" s="7" t="str">
        <f t="shared" si="114"/>
        <v/>
      </c>
      <c r="Q311" s="2" t="str">
        <f t="shared" si="115"/>
        <v/>
      </c>
      <c r="R311" s="9" t="s">
        <v>36</v>
      </c>
      <c r="S311" s="9"/>
    </row>
    <row r="312" spans="1:19" ht="16" x14ac:dyDescent="0.2">
      <c r="A312" s="1" t="s">
        <v>412</v>
      </c>
      <c r="B312" s="9"/>
      <c r="C312" s="9"/>
      <c r="D312" s="9"/>
      <c r="E312" s="9"/>
      <c r="F312" s="9"/>
      <c r="G312" s="10"/>
      <c r="H312" s="10"/>
      <c r="I312" s="10"/>
      <c r="J312" s="7" t="str">
        <f t="shared" si="109"/>
        <v/>
      </c>
      <c r="K312" s="7" t="str">
        <f t="shared" si="110"/>
        <v/>
      </c>
      <c r="L312" s="7" t="str">
        <f t="shared" si="111"/>
        <v/>
      </c>
      <c r="M312" s="7" t="str">
        <f t="shared" si="112"/>
        <v/>
      </c>
      <c r="N312" s="7" t="str">
        <f t="shared" si="113"/>
        <v/>
      </c>
      <c r="O312" s="10"/>
      <c r="P312" s="7" t="str">
        <f t="shared" si="114"/>
        <v/>
      </c>
      <c r="Q312" s="2" t="str">
        <f t="shared" si="115"/>
        <v/>
      </c>
      <c r="R312" s="9" t="s">
        <v>36</v>
      </c>
      <c r="S312" s="9"/>
    </row>
    <row r="313" spans="1:19" ht="16" x14ac:dyDescent="0.2">
      <c r="A313" s="1" t="s">
        <v>413</v>
      </c>
      <c r="B313" s="9"/>
      <c r="C313" s="9"/>
      <c r="D313" s="9"/>
      <c r="E313" s="9"/>
      <c r="F313" s="9"/>
      <c r="G313" s="10"/>
      <c r="H313" s="10"/>
      <c r="I313" s="10"/>
      <c r="J313" s="7" t="str">
        <f t="shared" si="109"/>
        <v/>
      </c>
      <c r="K313" s="7" t="str">
        <f t="shared" si="110"/>
        <v/>
      </c>
      <c r="L313" s="7" t="str">
        <f t="shared" si="111"/>
        <v/>
      </c>
      <c r="M313" s="7" t="str">
        <f t="shared" si="112"/>
        <v/>
      </c>
      <c r="N313" s="7" t="str">
        <f t="shared" si="113"/>
        <v/>
      </c>
      <c r="O313" s="10"/>
      <c r="P313" s="7" t="str">
        <f t="shared" si="114"/>
        <v/>
      </c>
      <c r="Q313" s="2" t="str">
        <f t="shared" si="115"/>
        <v/>
      </c>
      <c r="R313" s="9" t="s">
        <v>36</v>
      </c>
      <c r="S313" s="9"/>
    </row>
    <row r="314" spans="1:19" ht="16" x14ac:dyDescent="0.2">
      <c r="A314" s="1" t="s">
        <v>414</v>
      </c>
      <c r="B314" s="9"/>
      <c r="C314" s="9"/>
      <c r="D314" s="9"/>
      <c r="E314" s="9"/>
      <c r="F314" s="9"/>
      <c r="G314" s="10"/>
      <c r="H314" s="10"/>
      <c r="I314" s="10"/>
      <c r="J314" s="7" t="str">
        <f t="shared" si="109"/>
        <v/>
      </c>
      <c r="K314" s="7" t="str">
        <f t="shared" si="110"/>
        <v/>
      </c>
      <c r="L314" s="7" t="str">
        <f t="shared" si="111"/>
        <v/>
      </c>
      <c r="M314" s="7" t="str">
        <f t="shared" si="112"/>
        <v/>
      </c>
      <c r="N314" s="7" t="str">
        <f t="shared" si="113"/>
        <v/>
      </c>
      <c r="O314" s="10"/>
      <c r="P314" s="7" t="str">
        <f t="shared" si="114"/>
        <v/>
      </c>
      <c r="Q314" s="2" t="str">
        <f t="shared" si="115"/>
        <v/>
      </c>
      <c r="R314" s="9" t="s">
        <v>36</v>
      </c>
      <c r="S314" s="9"/>
    </row>
    <row r="315" spans="1:19" ht="16" x14ac:dyDescent="0.2">
      <c r="A315" s="1" t="s">
        <v>415</v>
      </c>
      <c r="B315" s="9"/>
      <c r="C315" s="9"/>
      <c r="D315" s="9"/>
      <c r="E315" s="9"/>
      <c r="F315" s="9"/>
      <c r="G315" s="10"/>
      <c r="H315" s="10"/>
      <c r="I315" s="10"/>
      <c r="J315" s="7" t="str">
        <f t="shared" si="109"/>
        <v/>
      </c>
      <c r="K315" s="7" t="str">
        <f t="shared" si="110"/>
        <v/>
      </c>
      <c r="L315" s="7" t="str">
        <f t="shared" si="111"/>
        <v/>
      </c>
      <c r="M315" s="7" t="str">
        <f t="shared" si="112"/>
        <v/>
      </c>
      <c r="N315" s="7" t="str">
        <f t="shared" si="113"/>
        <v/>
      </c>
      <c r="O315" s="10"/>
      <c r="P315" s="7" t="str">
        <f t="shared" si="114"/>
        <v/>
      </c>
      <c r="Q315" s="2" t="str">
        <f t="shared" si="115"/>
        <v/>
      </c>
      <c r="R315" s="9" t="s">
        <v>36</v>
      </c>
      <c r="S315" s="9"/>
    </row>
    <row r="316" spans="1:19" ht="16" x14ac:dyDescent="0.2">
      <c r="A316" s="1" t="s">
        <v>416</v>
      </c>
      <c r="B316" s="9"/>
      <c r="C316" s="9"/>
      <c r="D316" s="9"/>
      <c r="E316" s="9"/>
      <c r="F316" s="9"/>
      <c r="G316" s="10"/>
      <c r="H316" s="10"/>
      <c r="I316" s="10"/>
      <c r="J316" s="7" t="str">
        <f t="shared" si="109"/>
        <v/>
      </c>
      <c r="K316" s="7" t="str">
        <f t="shared" si="110"/>
        <v/>
      </c>
      <c r="L316" s="7" t="str">
        <f t="shared" si="111"/>
        <v/>
      </c>
      <c r="M316" s="7" t="str">
        <f t="shared" si="112"/>
        <v/>
      </c>
      <c r="N316" s="7" t="str">
        <f t="shared" si="113"/>
        <v/>
      </c>
      <c r="O316" s="10"/>
      <c r="P316" s="7" t="str">
        <f t="shared" si="114"/>
        <v/>
      </c>
      <c r="Q316" s="2" t="str">
        <f t="shared" si="115"/>
        <v/>
      </c>
      <c r="R316" s="9" t="s">
        <v>36</v>
      </c>
      <c r="S316" s="9"/>
    </row>
    <row r="317" spans="1:19" ht="16" x14ac:dyDescent="0.2">
      <c r="A317" s="1" t="s">
        <v>417</v>
      </c>
      <c r="B317" s="9"/>
      <c r="C317" s="9"/>
      <c r="D317" s="9"/>
      <c r="E317" s="9"/>
      <c r="F317" s="9"/>
      <c r="G317" s="10"/>
      <c r="H317" s="10"/>
      <c r="I317" s="10"/>
      <c r="J317" s="7" t="str">
        <f t="shared" si="109"/>
        <v/>
      </c>
      <c r="K317" s="7" t="str">
        <f t="shared" si="110"/>
        <v/>
      </c>
      <c r="L317" s="7" t="str">
        <f t="shared" si="111"/>
        <v/>
      </c>
      <c r="M317" s="7" t="str">
        <f t="shared" si="112"/>
        <v/>
      </c>
      <c r="N317" s="7" t="str">
        <f t="shared" si="113"/>
        <v/>
      </c>
      <c r="O317" s="10"/>
      <c r="P317" s="7" t="str">
        <f t="shared" si="114"/>
        <v/>
      </c>
      <c r="Q317" s="2" t="str">
        <f t="shared" si="115"/>
        <v/>
      </c>
      <c r="R317" s="9" t="s">
        <v>36</v>
      </c>
      <c r="S317" s="9"/>
    </row>
    <row r="318" spans="1:19" ht="16" x14ac:dyDescent="0.2">
      <c r="A318" s="1" t="s">
        <v>418</v>
      </c>
      <c r="B318" s="9"/>
      <c r="C318" s="9"/>
      <c r="D318" s="9"/>
      <c r="E318" s="9"/>
      <c r="F318" s="9"/>
      <c r="G318" s="10"/>
      <c r="H318" s="10"/>
      <c r="I318" s="10"/>
      <c r="J318" s="7" t="str">
        <f t="shared" si="109"/>
        <v/>
      </c>
      <c r="K318" s="7" t="str">
        <f t="shared" si="110"/>
        <v/>
      </c>
      <c r="L318" s="7" t="str">
        <f t="shared" si="111"/>
        <v/>
      </c>
      <c r="M318" s="7" t="str">
        <f t="shared" si="112"/>
        <v/>
      </c>
      <c r="N318" s="7" t="str">
        <f t="shared" si="113"/>
        <v/>
      </c>
      <c r="O318" s="10"/>
      <c r="P318" s="7" t="str">
        <f t="shared" si="114"/>
        <v/>
      </c>
      <c r="Q318" s="2" t="str">
        <f t="shared" si="115"/>
        <v/>
      </c>
      <c r="R318" s="9" t="s">
        <v>36</v>
      </c>
      <c r="S318" s="9"/>
    </row>
    <row r="319" spans="1:19" ht="16" x14ac:dyDescent="0.2">
      <c r="A319" s="1" t="s">
        <v>419</v>
      </c>
      <c r="B319" s="9"/>
      <c r="C319" s="9"/>
      <c r="D319" s="9"/>
      <c r="E319" s="9"/>
      <c r="F319" s="9"/>
      <c r="G319" s="10"/>
      <c r="H319" s="10"/>
      <c r="I319" s="10"/>
      <c r="J319" s="7" t="str">
        <f t="shared" si="109"/>
        <v/>
      </c>
      <c r="K319" s="7" t="str">
        <f t="shared" si="110"/>
        <v/>
      </c>
      <c r="L319" s="7" t="str">
        <f t="shared" si="111"/>
        <v/>
      </c>
      <c r="M319" s="7" t="str">
        <f t="shared" si="112"/>
        <v/>
      </c>
      <c r="N319" s="7" t="str">
        <f t="shared" si="113"/>
        <v/>
      </c>
      <c r="O319" s="10"/>
      <c r="P319" s="7" t="str">
        <f t="shared" si="114"/>
        <v/>
      </c>
      <c r="Q319" s="2" t="str">
        <f t="shared" si="115"/>
        <v/>
      </c>
      <c r="R319" s="9" t="s">
        <v>36</v>
      </c>
      <c r="S319" s="9"/>
    </row>
    <row r="320" spans="1:19" ht="16" x14ac:dyDescent="0.2">
      <c r="A320" s="1" t="s">
        <v>420</v>
      </c>
      <c r="B320" s="9"/>
      <c r="C320" s="9"/>
      <c r="D320" s="9"/>
      <c r="E320" s="9"/>
      <c r="F320" s="9"/>
      <c r="G320" s="10"/>
      <c r="H320" s="10"/>
      <c r="I320" s="10"/>
      <c r="J320" s="7" t="str">
        <f t="shared" si="109"/>
        <v/>
      </c>
      <c r="K320" s="7" t="str">
        <f t="shared" si="110"/>
        <v/>
      </c>
      <c r="L320" s="7" t="str">
        <f t="shared" si="111"/>
        <v/>
      </c>
      <c r="M320" s="7" t="str">
        <f t="shared" si="112"/>
        <v/>
      </c>
      <c r="N320" s="7" t="str">
        <f t="shared" si="113"/>
        <v/>
      </c>
      <c r="O320" s="10"/>
      <c r="P320" s="7" t="str">
        <f t="shared" si="114"/>
        <v/>
      </c>
      <c r="Q320" s="2" t="str">
        <f t="shared" si="115"/>
        <v/>
      </c>
      <c r="R320" s="9" t="s">
        <v>36</v>
      </c>
      <c r="S320" s="9"/>
    </row>
    <row r="321" spans="1:19" ht="16" x14ac:dyDescent="0.2">
      <c r="A321" s="1" t="s">
        <v>421</v>
      </c>
      <c r="B321" s="9"/>
      <c r="C321" s="9"/>
      <c r="D321" s="9"/>
      <c r="E321" s="9"/>
      <c r="F321" s="9"/>
      <c r="G321" s="10"/>
      <c r="H321" s="10"/>
      <c r="I321" s="10"/>
      <c r="J321" s="7" t="str">
        <f t="shared" si="109"/>
        <v/>
      </c>
      <c r="K321" s="7" t="str">
        <f t="shared" si="110"/>
        <v/>
      </c>
      <c r="L321" s="7" t="str">
        <f t="shared" si="111"/>
        <v/>
      </c>
      <c r="M321" s="7" t="str">
        <f t="shared" si="112"/>
        <v/>
      </c>
      <c r="N321" s="7" t="str">
        <f t="shared" si="113"/>
        <v/>
      </c>
      <c r="O321" s="10"/>
      <c r="P321" s="7" t="str">
        <f t="shared" si="114"/>
        <v/>
      </c>
      <c r="Q321" s="2" t="str">
        <f t="shared" si="115"/>
        <v/>
      </c>
      <c r="R321" s="9" t="s">
        <v>36</v>
      </c>
      <c r="S321" s="9"/>
    </row>
    <row r="322" spans="1:19" ht="16" x14ac:dyDescent="0.2">
      <c r="A322" s="1" t="s">
        <v>422</v>
      </c>
      <c r="B322" s="9"/>
      <c r="C322" s="9"/>
      <c r="D322" s="9"/>
      <c r="E322" s="9"/>
      <c r="F322" s="9"/>
      <c r="G322" s="10"/>
      <c r="H322" s="10"/>
      <c r="I322" s="10"/>
      <c r="J322" s="7" t="str">
        <f t="shared" ref="J322:J385" si="116">IF(COUNT(G322:I322)=0,"",ROUND(AVERAGE(G322:I322),0))</f>
        <v/>
      </c>
      <c r="K322" s="7" t="str">
        <f t="shared" ref="K322:K385" si="117">IF(J322="","",ROUND(J322/10,0)*10)</f>
        <v/>
      </c>
      <c r="L322" s="7" t="str">
        <f t="shared" ref="L322:L385" si="118">IF(K322="","",ROUND(K322*0.95/10,0)*10)</f>
        <v/>
      </c>
      <c r="M322" s="7" t="str">
        <f t="shared" ref="M322:M385" si="119">IF(K322="","",ROUND(K322*0.92/10,0)*10)</f>
        <v/>
      </c>
      <c r="N322" s="7" t="str">
        <f t="shared" ref="N322:N385" si="120">IF(K322="","",ROUND(K322*0.88/10,0)*10)</f>
        <v/>
      </c>
      <c r="O322" s="10"/>
      <c r="P322" s="7" t="str">
        <f t="shared" ref="P322:P385" si="121">IF(OR(K322="",O322=""),"",K322-O322)</f>
        <v/>
      </c>
      <c r="Q322" s="2" t="str">
        <f t="shared" ref="Q322:Q385" si="122">IF(OR(K322="",O322="",K322=0),"",P322/K322)</f>
        <v/>
      </c>
      <c r="R322" s="9" t="s">
        <v>36</v>
      </c>
      <c r="S322" s="9"/>
    </row>
    <row r="323" spans="1:19" ht="16" x14ac:dyDescent="0.2">
      <c r="A323" s="1" t="s">
        <v>423</v>
      </c>
      <c r="B323" s="9"/>
      <c r="C323" s="9"/>
      <c r="D323" s="9"/>
      <c r="E323" s="9"/>
      <c r="F323" s="9"/>
      <c r="G323" s="10"/>
      <c r="H323" s="10"/>
      <c r="I323" s="10"/>
      <c r="J323" s="7" t="str">
        <f t="shared" si="116"/>
        <v/>
      </c>
      <c r="K323" s="7" t="str">
        <f t="shared" si="117"/>
        <v/>
      </c>
      <c r="L323" s="7" t="str">
        <f t="shared" si="118"/>
        <v/>
      </c>
      <c r="M323" s="7" t="str">
        <f t="shared" si="119"/>
        <v/>
      </c>
      <c r="N323" s="7" t="str">
        <f t="shared" si="120"/>
        <v/>
      </c>
      <c r="O323" s="10"/>
      <c r="P323" s="7" t="str">
        <f t="shared" si="121"/>
        <v/>
      </c>
      <c r="Q323" s="2" t="str">
        <f t="shared" si="122"/>
        <v/>
      </c>
      <c r="R323" s="9" t="s">
        <v>36</v>
      </c>
      <c r="S323" s="9"/>
    </row>
    <row r="324" spans="1:19" ht="16" x14ac:dyDescent="0.2">
      <c r="A324" s="1" t="s">
        <v>424</v>
      </c>
      <c r="B324" s="9"/>
      <c r="C324" s="9"/>
      <c r="D324" s="9"/>
      <c r="E324" s="9"/>
      <c r="F324" s="9"/>
      <c r="G324" s="10"/>
      <c r="H324" s="10"/>
      <c r="I324" s="10"/>
      <c r="J324" s="7" t="str">
        <f t="shared" si="116"/>
        <v/>
      </c>
      <c r="K324" s="7" t="str">
        <f t="shared" si="117"/>
        <v/>
      </c>
      <c r="L324" s="7" t="str">
        <f t="shared" si="118"/>
        <v/>
      </c>
      <c r="M324" s="7" t="str">
        <f t="shared" si="119"/>
        <v/>
      </c>
      <c r="N324" s="7" t="str">
        <f t="shared" si="120"/>
        <v/>
      </c>
      <c r="O324" s="10"/>
      <c r="P324" s="7" t="str">
        <f t="shared" si="121"/>
        <v/>
      </c>
      <c r="Q324" s="2" t="str">
        <f t="shared" si="122"/>
        <v/>
      </c>
      <c r="R324" s="9" t="s">
        <v>36</v>
      </c>
      <c r="S324" s="9"/>
    </row>
    <row r="325" spans="1:19" ht="16" x14ac:dyDescent="0.2">
      <c r="A325" s="1" t="s">
        <v>425</v>
      </c>
      <c r="B325" s="9"/>
      <c r="C325" s="9"/>
      <c r="D325" s="9"/>
      <c r="E325" s="9"/>
      <c r="F325" s="9"/>
      <c r="G325" s="10"/>
      <c r="H325" s="10"/>
      <c r="I325" s="10"/>
      <c r="J325" s="7" t="str">
        <f t="shared" si="116"/>
        <v/>
      </c>
      <c r="K325" s="7" t="str">
        <f t="shared" si="117"/>
        <v/>
      </c>
      <c r="L325" s="7" t="str">
        <f t="shared" si="118"/>
        <v/>
      </c>
      <c r="M325" s="7" t="str">
        <f t="shared" si="119"/>
        <v/>
      </c>
      <c r="N325" s="7" t="str">
        <f t="shared" si="120"/>
        <v/>
      </c>
      <c r="O325" s="10"/>
      <c r="P325" s="7" t="str">
        <f t="shared" si="121"/>
        <v/>
      </c>
      <c r="Q325" s="2" t="str">
        <f t="shared" si="122"/>
        <v/>
      </c>
      <c r="R325" s="9" t="s">
        <v>36</v>
      </c>
      <c r="S325" s="9"/>
    </row>
    <row r="326" spans="1:19" ht="16" x14ac:dyDescent="0.2">
      <c r="A326" s="1" t="s">
        <v>426</v>
      </c>
      <c r="B326" s="9"/>
      <c r="C326" s="9"/>
      <c r="D326" s="9"/>
      <c r="E326" s="9"/>
      <c r="F326" s="9"/>
      <c r="G326" s="10"/>
      <c r="H326" s="10"/>
      <c r="I326" s="10"/>
      <c r="J326" s="7" t="str">
        <f t="shared" si="116"/>
        <v/>
      </c>
      <c r="K326" s="7" t="str">
        <f t="shared" si="117"/>
        <v/>
      </c>
      <c r="L326" s="7" t="str">
        <f t="shared" si="118"/>
        <v/>
      </c>
      <c r="M326" s="7" t="str">
        <f t="shared" si="119"/>
        <v/>
      </c>
      <c r="N326" s="7" t="str">
        <f t="shared" si="120"/>
        <v/>
      </c>
      <c r="O326" s="10"/>
      <c r="P326" s="7" t="str">
        <f t="shared" si="121"/>
        <v/>
      </c>
      <c r="Q326" s="2" t="str">
        <f t="shared" si="122"/>
        <v/>
      </c>
      <c r="R326" s="9" t="s">
        <v>36</v>
      </c>
      <c r="S326" s="9"/>
    </row>
    <row r="327" spans="1:19" ht="16" x14ac:dyDescent="0.2">
      <c r="A327" s="1" t="s">
        <v>427</v>
      </c>
      <c r="B327" s="9"/>
      <c r="C327" s="9"/>
      <c r="D327" s="9"/>
      <c r="E327" s="9"/>
      <c r="F327" s="9"/>
      <c r="G327" s="10"/>
      <c r="H327" s="10"/>
      <c r="I327" s="10"/>
      <c r="J327" s="7" t="str">
        <f t="shared" si="116"/>
        <v/>
      </c>
      <c r="K327" s="7" t="str">
        <f t="shared" si="117"/>
        <v/>
      </c>
      <c r="L327" s="7" t="str">
        <f t="shared" si="118"/>
        <v/>
      </c>
      <c r="M327" s="7" t="str">
        <f t="shared" si="119"/>
        <v/>
      </c>
      <c r="N327" s="7" t="str">
        <f t="shared" si="120"/>
        <v/>
      </c>
      <c r="O327" s="10"/>
      <c r="P327" s="7" t="str">
        <f t="shared" si="121"/>
        <v/>
      </c>
      <c r="Q327" s="2" t="str">
        <f t="shared" si="122"/>
        <v/>
      </c>
      <c r="R327" s="9" t="s">
        <v>36</v>
      </c>
      <c r="S327" s="9"/>
    </row>
    <row r="328" spans="1:19" ht="16" x14ac:dyDescent="0.2">
      <c r="A328" s="1" t="s">
        <v>428</v>
      </c>
      <c r="B328" s="9"/>
      <c r="C328" s="9"/>
      <c r="D328" s="9"/>
      <c r="E328" s="9"/>
      <c r="F328" s="9"/>
      <c r="G328" s="10"/>
      <c r="H328" s="10"/>
      <c r="I328" s="10"/>
      <c r="J328" s="7" t="str">
        <f t="shared" si="116"/>
        <v/>
      </c>
      <c r="K328" s="7" t="str">
        <f t="shared" si="117"/>
        <v/>
      </c>
      <c r="L328" s="7" t="str">
        <f t="shared" si="118"/>
        <v/>
      </c>
      <c r="M328" s="7" t="str">
        <f t="shared" si="119"/>
        <v/>
      </c>
      <c r="N328" s="7" t="str">
        <f t="shared" si="120"/>
        <v/>
      </c>
      <c r="O328" s="10"/>
      <c r="P328" s="7" t="str">
        <f t="shared" si="121"/>
        <v/>
      </c>
      <c r="Q328" s="2" t="str">
        <f t="shared" si="122"/>
        <v/>
      </c>
      <c r="R328" s="9" t="s">
        <v>36</v>
      </c>
      <c r="S328" s="9"/>
    </row>
    <row r="329" spans="1:19" ht="16" x14ac:dyDescent="0.2">
      <c r="A329" s="1" t="s">
        <v>429</v>
      </c>
      <c r="B329" s="9"/>
      <c r="C329" s="9"/>
      <c r="D329" s="9"/>
      <c r="E329" s="9"/>
      <c r="F329" s="9"/>
      <c r="G329" s="10"/>
      <c r="H329" s="10"/>
      <c r="I329" s="10"/>
      <c r="J329" s="7" t="str">
        <f t="shared" si="116"/>
        <v/>
      </c>
      <c r="K329" s="7" t="str">
        <f t="shared" si="117"/>
        <v/>
      </c>
      <c r="L329" s="7" t="str">
        <f t="shared" si="118"/>
        <v/>
      </c>
      <c r="M329" s="7" t="str">
        <f t="shared" si="119"/>
        <v/>
      </c>
      <c r="N329" s="7" t="str">
        <f t="shared" si="120"/>
        <v/>
      </c>
      <c r="O329" s="10"/>
      <c r="P329" s="7" t="str">
        <f t="shared" si="121"/>
        <v/>
      </c>
      <c r="Q329" s="2" t="str">
        <f t="shared" si="122"/>
        <v/>
      </c>
      <c r="R329" s="9" t="s">
        <v>36</v>
      </c>
      <c r="S329" s="9"/>
    </row>
    <row r="330" spans="1:19" ht="16" x14ac:dyDescent="0.2">
      <c r="A330" s="1" t="s">
        <v>430</v>
      </c>
      <c r="B330" s="9"/>
      <c r="C330" s="9"/>
      <c r="D330" s="9"/>
      <c r="E330" s="9"/>
      <c r="F330" s="9"/>
      <c r="G330" s="10"/>
      <c r="H330" s="10"/>
      <c r="I330" s="10"/>
      <c r="J330" s="7" t="str">
        <f t="shared" si="116"/>
        <v/>
      </c>
      <c r="K330" s="7" t="str">
        <f t="shared" si="117"/>
        <v/>
      </c>
      <c r="L330" s="7" t="str">
        <f t="shared" si="118"/>
        <v/>
      </c>
      <c r="M330" s="7" t="str">
        <f t="shared" si="119"/>
        <v/>
      </c>
      <c r="N330" s="7" t="str">
        <f t="shared" si="120"/>
        <v/>
      </c>
      <c r="O330" s="10"/>
      <c r="P330" s="7" t="str">
        <f t="shared" si="121"/>
        <v/>
      </c>
      <c r="Q330" s="2" t="str">
        <f t="shared" si="122"/>
        <v/>
      </c>
      <c r="R330" s="9" t="s">
        <v>36</v>
      </c>
      <c r="S330" s="9"/>
    </row>
    <row r="331" spans="1:19" ht="16" x14ac:dyDescent="0.2">
      <c r="A331" s="1" t="s">
        <v>431</v>
      </c>
      <c r="B331" s="9"/>
      <c r="C331" s="9"/>
      <c r="D331" s="9"/>
      <c r="E331" s="9"/>
      <c r="F331" s="9"/>
      <c r="G331" s="10"/>
      <c r="H331" s="10"/>
      <c r="I331" s="10"/>
      <c r="J331" s="7" t="str">
        <f t="shared" si="116"/>
        <v/>
      </c>
      <c r="K331" s="7" t="str">
        <f t="shared" si="117"/>
        <v/>
      </c>
      <c r="L331" s="7" t="str">
        <f t="shared" si="118"/>
        <v/>
      </c>
      <c r="M331" s="7" t="str">
        <f t="shared" si="119"/>
        <v/>
      </c>
      <c r="N331" s="7" t="str">
        <f t="shared" si="120"/>
        <v/>
      </c>
      <c r="O331" s="10"/>
      <c r="P331" s="7" t="str">
        <f t="shared" si="121"/>
        <v/>
      </c>
      <c r="Q331" s="2" t="str">
        <f t="shared" si="122"/>
        <v/>
      </c>
      <c r="R331" s="9" t="s">
        <v>36</v>
      </c>
      <c r="S331" s="9"/>
    </row>
    <row r="332" spans="1:19" ht="16" x14ac:dyDescent="0.2">
      <c r="A332" s="1" t="s">
        <v>432</v>
      </c>
      <c r="B332" s="9"/>
      <c r="C332" s="9"/>
      <c r="D332" s="9"/>
      <c r="E332" s="9"/>
      <c r="F332" s="9"/>
      <c r="G332" s="10"/>
      <c r="H332" s="10"/>
      <c r="I332" s="10"/>
      <c r="J332" s="7" t="str">
        <f t="shared" si="116"/>
        <v/>
      </c>
      <c r="K332" s="7" t="str">
        <f t="shared" si="117"/>
        <v/>
      </c>
      <c r="L332" s="7" t="str">
        <f t="shared" si="118"/>
        <v/>
      </c>
      <c r="M332" s="7" t="str">
        <f t="shared" si="119"/>
        <v/>
      </c>
      <c r="N332" s="7" t="str">
        <f t="shared" si="120"/>
        <v/>
      </c>
      <c r="O332" s="10"/>
      <c r="P332" s="7" t="str">
        <f t="shared" si="121"/>
        <v/>
      </c>
      <c r="Q332" s="2" t="str">
        <f t="shared" si="122"/>
        <v/>
      </c>
      <c r="R332" s="9" t="s">
        <v>36</v>
      </c>
      <c r="S332" s="9"/>
    </row>
    <row r="333" spans="1:19" ht="16" x14ac:dyDescent="0.2">
      <c r="A333" s="1" t="s">
        <v>433</v>
      </c>
      <c r="B333" s="9"/>
      <c r="C333" s="9"/>
      <c r="D333" s="9"/>
      <c r="E333" s="9"/>
      <c r="F333" s="9"/>
      <c r="G333" s="10"/>
      <c r="H333" s="10"/>
      <c r="I333" s="10"/>
      <c r="J333" s="7" t="str">
        <f t="shared" si="116"/>
        <v/>
      </c>
      <c r="K333" s="7" t="str">
        <f t="shared" si="117"/>
        <v/>
      </c>
      <c r="L333" s="7" t="str">
        <f t="shared" si="118"/>
        <v/>
      </c>
      <c r="M333" s="7" t="str">
        <f t="shared" si="119"/>
        <v/>
      </c>
      <c r="N333" s="7" t="str">
        <f t="shared" si="120"/>
        <v/>
      </c>
      <c r="O333" s="10"/>
      <c r="P333" s="7" t="str">
        <f t="shared" si="121"/>
        <v/>
      </c>
      <c r="Q333" s="2" t="str">
        <f t="shared" si="122"/>
        <v/>
      </c>
      <c r="R333" s="9" t="s">
        <v>36</v>
      </c>
      <c r="S333" s="9"/>
    </row>
    <row r="334" spans="1:19" ht="16" x14ac:dyDescent="0.2">
      <c r="A334" s="1" t="s">
        <v>434</v>
      </c>
      <c r="B334" s="9"/>
      <c r="C334" s="9"/>
      <c r="D334" s="9"/>
      <c r="E334" s="9"/>
      <c r="F334" s="9"/>
      <c r="G334" s="10"/>
      <c r="H334" s="10"/>
      <c r="I334" s="10"/>
      <c r="J334" s="7" t="str">
        <f t="shared" si="116"/>
        <v/>
      </c>
      <c r="K334" s="7" t="str">
        <f t="shared" si="117"/>
        <v/>
      </c>
      <c r="L334" s="7" t="str">
        <f t="shared" si="118"/>
        <v/>
      </c>
      <c r="M334" s="7" t="str">
        <f t="shared" si="119"/>
        <v/>
      </c>
      <c r="N334" s="7" t="str">
        <f t="shared" si="120"/>
        <v/>
      </c>
      <c r="O334" s="10"/>
      <c r="P334" s="7" t="str">
        <f t="shared" si="121"/>
        <v/>
      </c>
      <c r="Q334" s="2" t="str">
        <f t="shared" si="122"/>
        <v/>
      </c>
      <c r="R334" s="9" t="s">
        <v>36</v>
      </c>
      <c r="S334" s="9"/>
    </row>
    <row r="335" spans="1:19" ht="16" x14ac:dyDescent="0.2">
      <c r="A335" s="1" t="s">
        <v>435</v>
      </c>
      <c r="B335" s="9"/>
      <c r="C335" s="9"/>
      <c r="D335" s="9"/>
      <c r="E335" s="9"/>
      <c r="F335" s="9"/>
      <c r="G335" s="10"/>
      <c r="H335" s="10"/>
      <c r="I335" s="10"/>
      <c r="J335" s="7" t="str">
        <f t="shared" si="116"/>
        <v/>
      </c>
      <c r="K335" s="7" t="str">
        <f t="shared" si="117"/>
        <v/>
      </c>
      <c r="L335" s="7" t="str">
        <f t="shared" si="118"/>
        <v/>
      </c>
      <c r="M335" s="7" t="str">
        <f t="shared" si="119"/>
        <v/>
      </c>
      <c r="N335" s="7" t="str">
        <f t="shared" si="120"/>
        <v/>
      </c>
      <c r="O335" s="10"/>
      <c r="P335" s="7" t="str">
        <f t="shared" si="121"/>
        <v/>
      </c>
      <c r="Q335" s="2" t="str">
        <f t="shared" si="122"/>
        <v/>
      </c>
      <c r="R335" s="9" t="s">
        <v>36</v>
      </c>
      <c r="S335" s="9"/>
    </row>
    <row r="336" spans="1:19" ht="16" x14ac:dyDescent="0.2">
      <c r="A336" s="1" t="s">
        <v>436</v>
      </c>
      <c r="B336" s="9"/>
      <c r="C336" s="9"/>
      <c r="D336" s="9"/>
      <c r="E336" s="9"/>
      <c r="F336" s="9"/>
      <c r="G336" s="10"/>
      <c r="H336" s="10"/>
      <c r="I336" s="10"/>
      <c r="J336" s="7" t="str">
        <f t="shared" si="116"/>
        <v/>
      </c>
      <c r="K336" s="7" t="str">
        <f t="shared" si="117"/>
        <v/>
      </c>
      <c r="L336" s="7" t="str">
        <f t="shared" si="118"/>
        <v/>
      </c>
      <c r="M336" s="7" t="str">
        <f t="shared" si="119"/>
        <v/>
      </c>
      <c r="N336" s="7" t="str">
        <f t="shared" si="120"/>
        <v/>
      </c>
      <c r="O336" s="10"/>
      <c r="P336" s="7" t="str">
        <f t="shared" si="121"/>
        <v/>
      </c>
      <c r="Q336" s="2" t="str">
        <f t="shared" si="122"/>
        <v/>
      </c>
      <c r="R336" s="9" t="s">
        <v>36</v>
      </c>
      <c r="S336" s="9"/>
    </row>
    <row r="337" spans="1:19" ht="16" x14ac:dyDescent="0.2">
      <c r="A337" s="1" t="s">
        <v>437</v>
      </c>
      <c r="B337" s="9"/>
      <c r="C337" s="9"/>
      <c r="D337" s="9"/>
      <c r="E337" s="9"/>
      <c r="F337" s="9"/>
      <c r="G337" s="10"/>
      <c r="H337" s="10"/>
      <c r="I337" s="10"/>
      <c r="J337" s="7" t="str">
        <f t="shared" si="116"/>
        <v/>
      </c>
      <c r="K337" s="7" t="str">
        <f t="shared" si="117"/>
        <v/>
      </c>
      <c r="L337" s="7" t="str">
        <f t="shared" si="118"/>
        <v/>
      </c>
      <c r="M337" s="7" t="str">
        <f t="shared" si="119"/>
        <v/>
      </c>
      <c r="N337" s="7" t="str">
        <f t="shared" si="120"/>
        <v/>
      </c>
      <c r="O337" s="10"/>
      <c r="P337" s="7" t="str">
        <f t="shared" si="121"/>
        <v/>
      </c>
      <c r="Q337" s="2" t="str">
        <f t="shared" si="122"/>
        <v/>
      </c>
      <c r="R337" s="9" t="s">
        <v>36</v>
      </c>
      <c r="S337" s="9"/>
    </row>
    <row r="338" spans="1:19" ht="16" x14ac:dyDescent="0.2">
      <c r="A338" s="1" t="s">
        <v>438</v>
      </c>
      <c r="B338" s="9"/>
      <c r="C338" s="9"/>
      <c r="D338" s="9"/>
      <c r="E338" s="9"/>
      <c r="F338" s="9"/>
      <c r="G338" s="10"/>
      <c r="H338" s="10"/>
      <c r="I338" s="10"/>
      <c r="J338" s="7" t="str">
        <f t="shared" si="116"/>
        <v/>
      </c>
      <c r="K338" s="7" t="str">
        <f t="shared" si="117"/>
        <v/>
      </c>
      <c r="L338" s="7" t="str">
        <f t="shared" si="118"/>
        <v/>
      </c>
      <c r="M338" s="7" t="str">
        <f t="shared" si="119"/>
        <v/>
      </c>
      <c r="N338" s="7" t="str">
        <f t="shared" si="120"/>
        <v/>
      </c>
      <c r="O338" s="10"/>
      <c r="P338" s="7" t="str">
        <f t="shared" si="121"/>
        <v/>
      </c>
      <c r="Q338" s="2" t="str">
        <f t="shared" si="122"/>
        <v/>
      </c>
      <c r="R338" s="9" t="s">
        <v>36</v>
      </c>
      <c r="S338" s="9"/>
    </row>
    <row r="339" spans="1:19" ht="16" x14ac:dyDescent="0.2">
      <c r="A339" s="1" t="s">
        <v>439</v>
      </c>
      <c r="B339" s="9"/>
      <c r="C339" s="9"/>
      <c r="D339" s="9"/>
      <c r="E339" s="9"/>
      <c r="F339" s="9"/>
      <c r="G339" s="10"/>
      <c r="H339" s="10"/>
      <c r="I339" s="10"/>
      <c r="J339" s="7" t="str">
        <f t="shared" si="116"/>
        <v/>
      </c>
      <c r="K339" s="7" t="str">
        <f t="shared" si="117"/>
        <v/>
      </c>
      <c r="L339" s="7" t="str">
        <f t="shared" si="118"/>
        <v/>
      </c>
      <c r="M339" s="7" t="str">
        <f t="shared" si="119"/>
        <v/>
      </c>
      <c r="N339" s="7" t="str">
        <f t="shared" si="120"/>
        <v/>
      </c>
      <c r="O339" s="10"/>
      <c r="P339" s="7" t="str">
        <f t="shared" si="121"/>
        <v/>
      </c>
      <c r="Q339" s="2" t="str">
        <f t="shared" si="122"/>
        <v/>
      </c>
      <c r="R339" s="9" t="s">
        <v>36</v>
      </c>
      <c r="S339" s="9"/>
    </row>
    <row r="340" spans="1:19" ht="16" x14ac:dyDescent="0.2">
      <c r="A340" s="1" t="s">
        <v>440</v>
      </c>
      <c r="B340" s="9"/>
      <c r="C340" s="9"/>
      <c r="D340" s="9"/>
      <c r="E340" s="9"/>
      <c r="F340" s="9"/>
      <c r="G340" s="10"/>
      <c r="H340" s="10"/>
      <c r="I340" s="10"/>
      <c r="J340" s="7" t="str">
        <f t="shared" si="116"/>
        <v/>
      </c>
      <c r="K340" s="7" t="str">
        <f t="shared" si="117"/>
        <v/>
      </c>
      <c r="L340" s="7" t="str">
        <f t="shared" si="118"/>
        <v/>
      </c>
      <c r="M340" s="7" t="str">
        <f t="shared" si="119"/>
        <v/>
      </c>
      <c r="N340" s="7" t="str">
        <f t="shared" si="120"/>
        <v/>
      </c>
      <c r="O340" s="10"/>
      <c r="P340" s="7" t="str">
        <f t="shared" si="121"/>
        <v/>
      </c>
      <c r="Q340" s="2" t="str">
        <f t="shared" si="122"/>
        <v/>
      </c>
      <c r="R340" s="9" t="s">
        <v>36</v>
      </c>
      <c r="S340" s="9"/>
    </row>
    <row r="341" spans="1:19" ht="16" x14ac:dyDescent="0.2">
      <c r="A341" s="1" t="s">
        <v>441</v>
      </c>
      <c r="B341" s="9"/>
      <c r="C341" s="9"/>
      <c r="D341" s="9"/>
      <c r="E341" s="9"/>
      <c r="F341" s="9"/>
      <c r="G341" s="10"/>
      <c r="H341" s="10"/>
      <c r="I341" s="10"/>
      <c r="J341" s="7" t="str">
        <f t="shared" si="116"/>
        <v/>
      </c>
      <c r="K341" s="7" t="str">
        <f t="shared" si="117"/>
        <v/>
      </c>
      <c r="L341" s="7" t="str">
        <f t="shared" si="118"/>
        <v/>
      </c>
      <c r="M341" s="7" t="str">
        <f t="shared" si="119"/>
        <v/>
      </c>
      <c r="N341" s="7" t="str">
        <f t="shared" si="120"/>
        <v/>
      </c>
      <c r="O341" s="10"/>
      <c r="P341" s="7" t="str">
        <f t="shared" si="121"/>
        <v/>
      </c>
      <c r="Q341" s="2" t="str">
        <f t="shared" si="122"/>
        <v/>
      </c>
      <c r="R341" s="9" t="s">
        <v>36</v>
      </c>
      <c r="S341" s="9"/>
    </row>
    <row r="342" spans="1:19" ht="16" x14ac:dyDescent="0.2">
      <c r="A342" s="1" t="s">
        <v>442</v>
      </c>
      <c r="B342" s="9"/>
      <c r="C342" s="9"/>
      <c r="D342" s="9"/>
      <c r="E342" s="9"/>
      <c r="F342" s="9"/>
      <c r="G342" s="10"/>
      <c r="H342" s="10"/>
      <c r="I342" s="10"/>
      <c r="J342" s="7" t="str">
        <f t="shared" si="116"/>
        <v/>
      </c>
      <c r="K342" s="7" t="str">
        <f t="shared" si="117"/>
        <v/>
      </c>
      <c r="L342" s="7" t="str">
        <f t="shared" si="118"/>
        <v/>
      </c>
      <c r="M342" s="7" t="str">
        <f t="shared" si="119"/>
        <v/>
      </c>
      <c r="N342" s="7" t="str">
        <f t="shared" si="120"/>
        <v/>
      </c>
      <c r="O342" s="10"/>
      <c r="P342" s="7" t="str">
        <f t="shared" si="121"/>
        <v/>
      </c>
      <c r="Q342" s="2" t="str">
        <f t="shared" si="122"/>
        <v/>
      </c>
      <c r="R342" s="9" t="s">
        <v>36</v>
      </c>
      <c r="S342" s="9"/>
    </row>
    <row r="343" spans="1:19" ht="16" x14ac:dyDescent="0.2">
      <c r="A343" s="1" t="s">
        <v>443</v>
      </c>
      <c r="B343" s="9"/>
      <c r="C343" s="9"/>
      <c r="D343" s="9"/>
      <c r="E343" s="9"/>
      <c r="F343" s="9"/>
      <c r="G343" s="10"/>
      <c r="H343" s="10"/>
      <c r="I343" s="10"/>
      <c r="J343" s="7" t="str">
        <f t="shared" si="116"/>
        <v/>
      </c>
      <c r="K343" s="7" t="str">
        <f t="shared" si="117"/>
        <v/>
      </c>
      <c r="L343" s="7" t="str">
        <f t="shared" si="118"/>
        <v/>
      </c>
      <c r="M343" s="7" t="str">
        <f t="shared" si="119"/>
        <v/>
      </c>
      <c r="N343" s="7" t="str">
        <f t="shared" si="120"/>
        <v/>
      </c>
      <c r="O343" s="10"/>
      <c r="P343" s="7" t="str">
        <f t="shared" si="121"/>
        <v/>
      </c>
      <c r="Q343" s="2" t="str">
        <f t="shared" si="122"/>
        <v/>
      </c>
      <c r="R343" s="9" t="s">
        <v>36</v>
      </c>
      <c r="S343" s="9"/>
    </row>
    <row r="344" spans="1:19" ht="16" x14ac:dyDescent="0.2">
      <c r="A344" s="1" t="s">
        <v>444</v>
      </c>
      <c r="B344" s="9"/>
      <c r="C344" s="9"/>
      <c r="D344" s="9"/>
      <c r="E344" s="9"/>
      <c r="F344" s="9"/>
      <c r="G344" s="10"/>
      <c r="H344" s="10"/>
      <c r="I344" s="10"/>
      <c r="J344" s="7" t="str">
        <f t="shared" si="116"/>
        <v/>
      </c>
      <c r="K344" s="7" t="str">
        <f t="shared" si="117"/>
        <v/>
      </c>
      <c r="L344" s="7" t="str">
        <f t="shared" si="118"/>
        <v/>
      </c>
      <c r="M344" s="7" t="str">
        <f t="shared" si="119"/>
        <v/>
      </c>
      <c r="N344" s="7" t="str">
        <f t="shared" si="120"/>
        <v/>
      </c>
      <c r="O344" s="10"/>
      <c r="P344" s="7" t="str">
        <f t="shared" si="121"/>
        <v/>
      </c>
      <c r="Q344" s="2" t="str">
        <f t="shared" si="122"/>
        <v/>
      </c>
      <c r="R344" s="9" t="s">
        <v>36</v>
      </c>
      <c r="S344" s="9"/>
    </row>
    <row r="345" spans="1:19" ht="16" x14ac:dyDescent="0.2">
      <c r="A345" s="1" t="s">
        <v>445</v>
      </c>
      <c r="B345" s="9"/>
      <c r="C345" s="9"/>
      <c r="D345" s="9"/>
      <c r="E345" s="9"/>
      <c r="F345" s="9"/>
      <c r="G345" s="10"/>
      <c r="H345" s="10"/>
      <c r="I345" s="10"/>
      <c r="J345" s="7" t="str">
        <f t="shared" si="116"/>
        <v/>
      </c>
      <c r="K345" s="7" t="str">
        <f t="shared" si="117"/>
        <v/>
      </c>
      <c r="L345" s="7" t="str">
        <f t="shared" si="118"/>
        <v/>
      </c>
      <c r="M345" s="7" t="str">
        <f t="shared" si="119"/>
        <v/>
      </c>
      <c r="N345" s="7" t="str">
        <f t="shared" si="120"/>
        <v/>
      </c>
      <c r="O345" s="10"/>
      <c r="P345" s="7" t="str">
        <f t="shared" si="121"/>
        <v/>
      </c>
      <c r="Q345" s="2" t="str">
        <f t="shared" si="122"/>
        <v/>
      </c>
      <c r="R345" s="9" t="s">
        <v>36</v>
      </c>
      <c r="S345" s="9"/>
    </row>
    <row r="346" spans="1:19" ht="16" x14ac:dyDescent="0.2">
      <c r="A346" s="1" t="s">
        <v>446</v>
      </c>
      <c r="B346" s="9"/>
      <c r="C346" s="9"/>
      <c r="D346" s="9"/>
      <c r="E346" s="9"/>
      <c r="F346" s="9"/>
      <c r="G346" s="10"/>
      <c r="H346" s="10"/>
      <c r="I346" s="10"/>
      <c r="J346" s="7" t="str">
        <f t="shared" si="116"/>
        <v/>
      </c>
      <c r="K346" s="7" t="str">
        <f t="shared" si="117"/>
        <v/>
      </c>
      <c r="L346" s="7" t="str">
        <f t="shared" si="118"/>
        <v/>
      </c>
      <c r="M346" s="7" t="str">
        <f t="shared" si="119"/>
        <v/>
      </c>
      <c r="N346" s="7" t="str">
        <f t="shared" si="120"/>
        <v/>
      </c>
      <c r="O346" s="10"/>
      <c r="P346" s="7" t="str">
        <f t="shared" si="121"/>
        <v/>
      </c>
      <c r="Q346" s="2" t="str">
        <f t="shared" si="122"/>
        <v/>
      </c>
      <c r="R346" s="9" t="s">
        <v>36</v>
      </c>
      <c r="S346" s="9"/>
    </row>
    <row r="347" spans="1:19" ht="16" x14ac:dyDescent="0.2">
      <c r="A347" s="1" t="s">
        <v>447</v>
      </c>
      <c r="B347" s="9"/>
      <c r="C347" s="9"/>
      <c r="D347" s="9"/>
      <c r="E347" s="9"/>
      <c r="F347" s="9"/>
      <c r="G347" s="10"/>
      <c r="H347" s="10"/>
      <c r="I347" s="10"/>
      <c r="J347" s="7" t="str">
        <f t="shared" si="116"/>
        <v/>
      </c>
      <c r="K347" s="7" t="str">
        <f t="shared" si="117"/>
        <v/>
      </c>
      <c r="L347" s="7" t="str">
        <f t="shared" si="118"/>
        <v/>
      </c>
      <c r="M347" s="7" t="str">
        <f t="shared" si="119"/>
        <v/>
      </c>
      <c r="N347" s="7" t="str">
        <f t="shared" si="120"/>
        <v/>
      </c>
      <c r="O347" s="10"/>
      <c r="P347" s="7" t="str">
        <f t="shared" si="121"/>
        <v/>
      </c>
      <c r="Q347" s="2" t="str">
        <f t="shared" si="122"/>
        <v/>
      </c>
      <c r="R347" s="9" t="s">
        <v>36</v>
      </c>
      <c r="S347" s="9"/>
    </row>
    <row r="348" spans="1:19" ht="16" x14ac:dyDescent="0.2">
      <c r="A348" s="1" t="s">
        <v>448</v>
      </c>
      <c r="B348" s="9"/>
      <c r="C348" s="9"/>
      <c r="D348" s="9"/>
      <c r="E348" s="9"/>
      <c r="F348" s="9"/>
      <c r="G348" s="10"/>
      <c r="H348" s="10"/>
      <c r="I348" s="10"/>
      <c r="J348" s="7" t="str">
        <f t="shared" si="116"/>
        <v/>
      </c>
      <c r="K348" s="7" t="str">
        <f t="shared" si="117"/>
        <v/>
      </c>
      <c r="L348" s="7" t="str">
        <f t="shared" si="118"/>
        <v/>
      </c>
      <c r="M348" s="7" t="str">
        <f t="shared" si="119"/>
        <v/>
      </c>
      <c r="N348" s="7" t="str">
        <f t="shared" si="120"/>
        <v/>
      </c>
      <c r="O348" s="10"/>
      <c r="P348" s="7" t="str">
        <f t="shared" si="121"/>
        <v/>
      </c>
      <c r="Q348" s="2" t="str">
        <f t="shared" si="122"/>
        <v/>
      </c>
      <c r="R348" s="9" t="s">
        <v>36</v>
      </c>
      <c r="S348" s="9"/>
    </row>
    <row r="349" spans="1:19" ht="16" x14ac:dyDescent="0.2">
      <c r="A349" s="1" t="s">
        <v>449</v>
      </c>
      <c r="B349" s="9"/>
      <c r="C349" s="9"/>
      <c r="D349" s="9"/>
      <c r="E349" s="9"/>
      <c r="F349" s="9"/>
      <c r="G349" s="10"/>
      <c r="H349" s="10"/>
      <c r="I349" s="10"/>
      <c r="J349" s="7" t="str">
        <f t="shared" si="116"/>
        <v/>
      </c>
      <c r="K349" s="7" t="str">
        <f t="shared" si="117"/>
        <v/>
      </c>
      <c r="L349" s="7" t="str">
        <f t="shared" si="118"/>
        <v/>
      </c>
      <c r="M349" s="7" t="str">
        <f t="shared" si="119"/>
        <v/>
      </c>
      <c r="N349" s="7" t="str">
        <f t="shared" si="120"/>
        <v/>
      </c>
      <c r="O349" s="10"/>
      <c r="P349" s="7" t="str">
        <f t="shared" si="121"/>
        <v/>
      </c>
      <c r="Q349" s="2" t="str">
        <f t="shared" si="122"/>
        <v/>
      </c>
      <c r="R349" s="9" t="s">
        <v>36</v>
      </c>
      <c r="S349" s="9"/>
    </row>
    <row r="350" spans="1:19" ht="16" x14ac:dyDescent="0.2">
      <c r="A350" s="1" t="s">
        <v>450</v>
      </c>
      <c r="B350" s="9"/>
      <c r="C350" s="9"/>
      <c r="D350" s="9"/>
      <c r="E350" s="9"/>
      <c r="F350" s="9"/>
      <c r="G350" s="10"/>
      <c r="H350" s="10"/>
      <c r="I350" s="10"/>
      <c r="J350" s="7" t="str">
        <f t="shared" si="116"/>
        <v/>
      </c>
      <c r="K350" s="7" t="str">
        <f t="shared" si="117"/>
        <v/>
      </c>
      <c r="L350" s="7" t="str">
        <f t="shared" si="118"/>
        <v/>
      </c>
      <c r="M350" s="7" t="str">
        <f t="shared" si="119"/>
        <v/>
      </c>
      <c r="N350" s="7" t="str">
        <f t="shared" si="120"/>
        <v/>
      </c>
      <c r="O350" s="10"/>
      <c r="P350" s="7" t="str">
        <f t="shared" si="121"/>
        <v/>
      </c>
      <c r="Q350" s="2" t="str">
        <f t="shared" si="122"/>
        <v/>
      </c>
      <c r="R350" s="9" t="s">
        <v>36</v>
      </c>
      <c r="S350" s="9"/>
    </row>
    <row r="351" spans="1:19" ht="16" x14ac:dyDescent="0.2">
      <c r="A351" s="1" t="s">
        <v>451</v>
      </c>
      <c r="B351" s="9"/>
      <c r="C351" s="9"/>
      <c r="D351" s="9"/>
      <c r="E351" s="9"/>
      <c r="F351" s="9"/>
      <c r="G351" s="10"/>
      <c r="H351" s="10"/>
      <c r="I351" s="10"/>
      <c r="J351" s="7" t="str">
        <f t="shared" si="116"/>
        <v/>
      </c>
      <c r="K351" s="7" t="str">
        <f t="shared" si="117"/>
        <v/>
      </c>
      <c r="L351" s="7" t="str">
        <f t="shared" si="118"/>
        <v/>
      </c>
      <c r="M351" s="7" t="str">
        <f t="shared" si="119"/>
        <v/>
      </c>
      <c r="N351" s="7" t="str">
        <f t="shared" si="120"/>
        <v/>
      </c>
      <c r="O351" s="10"/>
      <c r="P351" s="7" t="str">
        <f t="shared" si="121"/>
        <v/>
      </c>
      <c r="Q351" s="2" t="str">
        <f t="shared" si="122"/>
        <v/>
      </c>
      <c r="R351" s="9" t="s">
        <v>36</v>
      </c>
      <c r="S351" s="9"/>
    </row>
    <row r="352" spans="1:19" ht="16" x14ac:dyDescent="0.2">
      <c r="A352" s="1" t="s">
        <v>452</v>
      </c>
      <c r="B352" s="9"/>
      <c r="C352" s="9"/>
      <c r="D352" s="9"/>
      <c r="E352" s="9"/>
      <c r="F352" s="9"/>
      <c r="G352" s="10"/>
      <c r="H352" s="10"/>
      <c r="I352" s="10"/>
      <c r="J352" s="7" t="str">
        <f t="shared" si="116"/>
        <v/>
      </c>
      <c r="K352" s="7" t="str">
        <f t="shared" si="117"/>
        <v/>
      </c>
      <c r="L352" s="7" t="str">
        <f t="shared" si="118"/>
        <v/>
      </c>
      <c r="M352" s="7" t="str">
        <f t="shared" si="119"/>
        <v/>
      </c>
      <c r="N352" s="7" t="str">
        <f t="shared" si="120"/>
        <v/>
      </c>
      <c r="O352" s="10"/>
      <c r="P352" s="7" t="str">
        <f t="shared" si="121"/>
        <v/>
      </c>
      <c r="Q352" s="2" t="str">
        <f t="shared" si="122"/>
        <v/>
      </c>
      <c r="R352" s="9" t="s">
        <v>36</v>
      </c>
      <c r="S352" s="9"/>
    </row>
    <row r="353" spans="1:19" ht="16" x14ac:dyDescent="0.2">
      <c r="A353" s="1" t="s">
        <v>453</v>
      </c>
      <c r="B353" s="9"/>
      <c r="C353" s="9"/>
      <c r="D353" s="9"/>
      <c r="E353" s="9"/>
      <c r="F353" s="9"/>
      <c r="G353" s="10"/>
      <c r="H353" s="10"/>
      <c r="I353" s="10"/>
      <c r="J353" s="7" t="str">
        <f t="shared" si="116"/>
        <v/>
      </c>
      <c r="K353" s="7" t="str">
        <f t="shared" si="117"/>
        <v/>
      </c>
      <c r="L353" s="7" t="str">
        <f t="shared" si="118"/>
        <v/>
      </c>
      <c r="M353" s="7" t="str">
        <f t="shared" si="119"/>
        <v/>
      </c>
      <c r="N353" s="7" t="str">
        <f t="shared" si="120"/>
        <v/>
      </c>
      <c r="O353" s="10"/>
      <c r="P353" s="7" t="str">
        <f t="shared" si="121"/>
        <v/>
      </c>
      <c r="Q353" s="2" t="str">
        <f t="shared" si="122"/>
        <v/>
      </c>
      <c r="R353" s="9" t="s">
        <v>36</v>
      </c>
      <c r="S353" s="9"/>
    </row>
    <row r="354" spans="1:19" ht="16" x14ac:dyDescent="0.2">
      <c r="A354" s="1" t="s">
        <v>454</v>
      </c>
      <c r="B354" s="9"/>
      <c r="C354" s="9"/>
      <c r="D354" s="9"/>
      <c r="E354" s="9"/>
      <c r="F354" s="9"/>
      <c r="G354" s="10"/>
      <c r="H354" s="10"/>
      <c r="I354" s="10"/>
      <c r="J354" s="7" t="str">
        <f t="shared" si="116"/>
        <v/>
      </c>
      <c r="K354" s="7" t="str">
        <f t="shared" si="117"/>
        <v/>
      </c>
      <c r="L354" s="7" t="str">
        <f t="shared" si="118"/>
        <v/>
      </c>
      <c r="M354" s="7" t="str">
        <f t="shared" si="119"/>
        <v/>
      </c>
      <c r="N354" s="7" t="str">
        <f t="shared" si="120"/>
        <v/>
      </c>
      <c r="O354" s="10"/>
      <c r="P354" s="7" t="str">
        <f t="shared" si="121"/>
        <v/>
      </c>
      <c r="Q354" s="2" t="str">
        <f t="shared" si="122"/>
        <v/>
      </c>
      <c r="R354" s="9" t="s">
        <v>36</v>
      </c>
      <c r="S354" s="9"/>
    </row>
    <row r="355" spans="1:19" ht="16" x14ac:dyDescent="0.2">
      <c r="A355" s="1" t="s">
        <v>455</v>
      </c>
      <c r="B355" s="9"/>
      <c r="C355" s="9"/>
      <c r="D355" s="9"/>
      <c r="E355" s="9"/>
      <c r="F355" s="9"/>
      <c r="G355" s="10"/>
      <c r="H355" s="10"/>
      <c r="I355" s="10"/>
      <c r="J355" s="7" t="str">
        <f t="shared" si="116"/>
        <v/>
      </c>
      <c r="K355" s="7" t="str">
        <f t="shared" si="117"/>
        <v/>
      </c>
      <c r="L355" s="7" t="str">
        <f t="shared" si="118"/>
        <v/>
      </c>
      <c r="M355" s="7" t="str">
        <f t="shared" si="119"/>
        <v/>
      </c>
      <c r="N355" s="7" t="str">
        <f t="shared" si="120"/>
        <v/>
      </c>
      <c r="O355" s="10"/>
      <c r="P355" s="7" t="str">
        <f t="shared" si="121"/>
        <v/>
      </c>
      <c r="Q355" s="2" t="str">
        <f t="shared" si="122"/>
        <v/>
      </c>
      <c r="R355" s="9" t="s">
        <v>36</v>
      </c>
      <c r="S355" s="9"/>
    </row>
    <row r="356" spans="1:19" ht="16" x14ac:dyDescent="0.2">
      <c r="A356" s="1" t="s">
        <v>456</v>
      </c>
      <c r="B356" s="9"/>
      <c r="C356" s="9"/>
      <c r="D356" s="9"/>
      <c r="E356" s="9"/>
      <c r="F356" s="9"/>
      <c r="G356" s="10"/>
      <c r="H356" s="10"/>
      <c r="I356" s="10"/>
      <c r="J356" s="7" t="str">
        <f t="shared" si="116"/>
        <v/>
      </c>
      <c r="K356" s="7" t="str">
        <f t="shared" si="117"/>
        <v/>
      </c>
      <c r="L356" s="7" t="str">
        <f t="shared" si="118"/>
        <v/>
      </c>
      <c r="M356" s="7" t="str">
        <f t="shared" si="119"/>
        <v/>
      </c>
      <c r="N356" s="7" t="str">
        <f t="shared" si="120"/>
        <v/>
      </c>
      <c r="O356" s="10"/>
      <c r="P356" s="7" t="str">
        <f t="shared" si="121"/>
        <v/>
      </c>
      <c r="Q356" s="2" t="str">
        <f t="shared" si="122"/>
        <v/>
      </c>
      <c r="R356" s="9" t="s">
        <v>36</v>
      </c>
      <c r="S356" s="9"/>
    </row>
    <row r="357" spans="1:19" ht="16" x14ac:dyDescent="0.2">
      <c r="A357" s="1" t="s">
        <v>457</v>
      </c>
      <c r="B357" s="9"/>
      <c r="C357" s="9"/>
      <c r="D357" s="9"/>
      <c r="E357" s="9"/>
      <c r="F357" s="9"/>
      <c r="G357" s="10"/>
      <c r="H357" s="10"/>
      <c r="I357" s="10"/>
      <c r="J357" s="7" t="str">
        <f t="shared" si="116"/>
        <v/>
      </c>
      <c r="K357" s="7" t="str">
        <f t="shared" si="117"/>
        <v/>
      </c>
      <c r="L357" s="7" t="str">
        <f t="shared" si="118"/>
        <v/>
      </c>
      <c r="M357" s="7" t="str">
        <f t="shared" si="119"/>
        <v/>
      </c>
      <c r="N357" s="7" t="str">
        <f t="shared" si="120"/>
        <v/>
      </c>
      <c r="O357" s="10"/>
      <c r="P357" s="7" t="str">
        <f t="shared" si="121"/>
        <v/>
      </c>
      <c r="Q357" s="2" t="str">
        <f t="shared" si="122"/>
        <v/>
      </c>
      <c r="R357" s="9" t="s">
        <v>36</v>
      </c>
      <c r="S357" s="9"/>
    </row>
    <row r="358" spans="1:19" ht="16" x14ac:dyDescent="0.2">
      <c r="A358" s="1" t="s">
        <v>458</v>
      </c>
      <c r="B358" s="9"/>
      <c r="C358" s="9"/>
      <c r="D358" s="9"/>
      <c r="E358" s="9"/>
      <c r="F358" s="9"/>
      <c r="G358" s="10"/>
      <c r="H358" s="10"/>
      <c r="I358" s="10"/>
      <c r="J358" s="7" t="str">
        <f t="shared" si="116"/>
        <v/>
      </c>
      <c r="K358" s="7" t="str">
        <f t="shared" si="117"/>
        <v/>
      </c>
      <c r="L358" s="7" t="str">
        <f t="shared" si="118"/>
        <v/>
      </c>
      <c r="M358" s="7" t="str">
        <f t="shared" si="119"/>
        <v/>
      </c>
      <c r="N358" s="7" t="str">
        <f t="shared" si="120"/>
        <v/>
      </c>
      <c r="O358" s="10"/>
      <c r="P358" s="7" t="str">
        <f t="shared" si="121"/>
        <v/>
      </c>
      <c r="Q358" s="2" t="str">
        <f t="shared" si="122"/>
        <v/>
      </c>
      <c r="R358" s="9" t="s">
        <v>36</v>
      </c>
      <c r="S358" s="9"/>
    </row>
    <row r="359" spans="1:19" ht="16" x14ac:dyDescent="0.2">
      <c r="A359" s="1" t="s">
        <v>459</v>
      </c>
      <c r="B359" s="9"/>
      <c r="C359" s="9"/>
      <c r="D359" s="9"/>
      <c r="E359" s="9"/>
      <c r="F359" s="9"/>
      <c r="G359" s="10"/>
      <c r="H359" s="10"/>
      <c r="I359" s="10"/>
      <c r="J359" s="7" t="str">
        <f t="shared" si="116"/>
        <v/>
      </c>
      <c r="K359" s="7" t="str">
        <f t="shared" si="117"/>
        <v/>
      </c>
      <c r="L359" s="7" t="str">
        <f t="shared" si="118"/>
        <v/>
      </c>
      <c r="M359" s="7" t="str">
        <f t="shared" si="119"/>
        <v/>
      </c>
      <c r="N359" s="7" t="str">
        <f t="shared" si="120"/>
        <v/>
      </c>
      <c r="O359" s="10"/>
      <c r="P359" s="7" t="str">
        <f t="shared" si="121"/>
        <v/>
      </c>
      <c r="Q359" s="2" t="str">
        <f t="shared" si="122"/>
        <v/>
      </c>
      <c r="R359" s="9" t="s">
        <v>36</v>
      </c>
      <c r="S359" s="9"/>
    </row>
    <row r="360" spans="1:19" ht="16" x14ac:dyDescent="0.2">
      <c r="A360" s="1" t="s">
        <v>460</v>
      </c>
      <c r="B360" s="9"/>
      <c r="C360" s="9"/>
      <c r="D360" s="9"/>
      <c r="E360" s="9"/>
      <c r="F360" s="9"/>
      <c r="G360" s="10"/>
      <c r="H360" s="10"/>
      <c r="I360" s="10"/>
      <c r="J360" s="7" t="str">
        <f t="shared" si="116"/>
        <v/>
      </c>
      <c r="K360" s="7" t="str">
        <f t="shared" si="117"/>
        <v/>
      </c>
      <c r="L360" s="7" t="str">
        <f t="shared" si="118"/>
        <v/>
      </c>
      <c r="M360" s="7" t="str">
        <f t="shared" si="119"/>
        <v/>
      </c>
      <c r="N360" s="7" t="str">
        <f t="shared" si="120"/>
        <v/>
      </c>
      <c r="O360" s="10"/>
      <c r="P360" s="7" t="str">
        <f t="shared" si="121"/>
        <v/>
      </c>
      <c r="Q360" s="2" t="str">
        <f t="shared" si="122"/>
        <v/>
      </c>
      <c r="R360" s="9" t="s">
        <v>36</v>
      </c>
      <c r="S360" s="9"/>
    </row>
    <row r="361" spans="1:19" ht="16" x14ac:dyDescent="0.2">
      <c r="A361" s="1" t="s">
        <v>461</v>
      </c>
      <c r="B361" s="9"/>
      <c r="C361" s="9"/>
      <c r="D361" s="9"/>
      <c r="E361" s="9"/>
      <c r="F361" s="9"/>
      <c r="G361" s="10"/>
      <c r="H361" s="10"/>
      <c r="I361" s="10"/>
      <c r="J361" s="7" t="str">
        <f t="shared" si="116"/>
        <v/>
      </c>
      <c r="K361" s="7" t="str">
        <f t="shared" si="117"/>
        <v/>
      </c>
      <c r="L361" s="7" t="str">
        <f t="shared" si="118"/>
        <v/>
      </c>
      <c r="M361" s="7" t="str">
        <f t="shared" si="119"/>
        <v/>
      </c>
      <c r="N361" s="7" t="str">
        <f t="shared" si="120"/>
        <v/>
      </c>
      <c r="O361" s="10"/>
      <c r="P361" s="7" t="str">
        <f t="shared" si="121"/>
        <v/>
      </c>
      <c r="Q361" s="2" t="str">
        <f t="shared" si="122"/>
        <v/>
      </c>
      <c r="R361" s="9" t="s">
        <v>36</v>
      </c>
      <c r="S361" s="9"/>
    </row>
    <row r="362" spans="1:19" ht="16" x14ac:dyDescent="0.2">
      <c r="A362" s="1" t="s">
        <v>462</v>
      </c>
      <c r="B362" s="9"/>
      <c r="C362" s="9"/>
      <c r="D362" s="9"/>
      <c r="E362" s="9"/>
      <c r="F362" s="9"/>
      <c r="G362" s="10"/>
      <c r="H362" s="10"/>
      <c r="I362" s="10"/>
      <c r="J362" s="7" t="str">
        <f t="shared" si="116"/>
        <v/>
      </c>
      <c r="K362" s="7" t="str">
        <f t="shared" si="117"/>
        <v/>
      </c>
      <c r="L362" s="7" t="str">
        <f t="shared" si="118"/>
        <v/>
      </c>
      <c r="M362" s="7" t="str">
        <f t="shared" si="119"/>
        <v/>
      </c>
      <c r="N362" s="7" t="str">
        <f t="shared" si="120"/>
        <v/>
      </c>
      <c r="O362" s="10"/>
      <c r="P362" s="7" t="str">
        <f t="shared" si="121"/>
        <v/>
      </c>
      <c r="Q362" s="2" t="str">
        <f t="shared" si="122"/>
        <v/>
      </c>
      <c r="R362" s="9" t="s">
        <v>36</v>
      </c>
      <c r="S362" s="9"/>
    </row>
    <row r="363" spans="1:19" ht="16" x14ac:dyDescent="0.2">
      <c r="A363" s="1" t="s">
        <v>463</v>
      </c>
      <c r="B363" s="9"/>
      <c r="C363" s="9"/>
      <c r="D363" s="9"/>
      <c r="E363" s="9"/>
      <c r="F363" s="9"/>
      <c r="G363" s="10"/>
      <c r="H363" s="10"/>
      <c r="I363" s="10"/>
      <c r="J363" s="7" t="str">
        <f t="shared" si="116"/>
        <v/>
      </c>
      <c r="K363" s="7" t="str">
        <f t="shared" si="117"/>
        <v/>
      </c>
      <c r="L363" s="7" t="str">
        <f t="shared" si="118"/>
        <v/>
      </c>
      <c r="M363" s="7" t="str">
        <f t="shared" si="119"/>
        <v/>
      </c>
      <c r="N363" s="7" t="str">
        <f t="shared" si="120"/>
        <v/>
      </c>
      <c r="O363" s="10"/>
      <c r="P363" s="7" t="str">
        <f t="shared" si="121"/>
        <v/>
      </c>
      <c r="Q363" s="2" t="str">
        <f t="shared" si="122"/>
        <v/>
      </c>
      <c r="R363" s="9" t="s">
        <v>36</v>
      </c>
      <c r="S363" s="9"/>
    </row>
    <row r="364" spans="1:19" ht="16" x14ac:dyDescent="0.2">
      <c r="A364" s="1" t="s">
        <v>464</v>
      </c>
      <c r="B364" s="9"/>
      <c r="C364" s="9"/>
      <c r="D364" s="9"/>
      <c r="E364" s="9"/>
      <c r="F364" s="9"/>
      <c r="G364" s="10"/>
      <c r="H364" s="10"/>
      <c r="I364" s="10"/>
      <c r="J364" s="7" t="str">
        <f t="shared" si="116"/>
        <v/>
      </c>
      <c r="K364" s="7" t="str">
        <f t="shared" si="117"/>
        <v/>
      </c>
      <c r="L364" s="7" t="str">
        <f t="shared" si="118"/>
        <v/>
      </c>
      <c r="M364" s="7" t="str">
        <f t="shared" si="119"/>
        <v/>
      </c>
      <c r="N364" s="7" t="str">
        <f t="shared" si="120"/>
        <v/>
      </c>
      <c r="O364" s="10"/>
      <c r="P364" s="7" t="str">
        <f t="shared" si="121"/>
        <v/>
      </c>
      <c r="Q364" s="2" t="str">
        <f t="shared" si="122"/>
        <v/>
      </c>
      <c r="R364" s="9" t="s">
        <v>36</v>
      </c>
      <c r="S364" s="9"/>
    </row>
    <row r="365" spans="1:19" ht="16" x14ac:dyDescent="0.2">
      <c r="A365" s="1" t="s">
        <v>465</v>
      </c>
      <c r="B365" s="9"/>
      <c r="C365" s="9"/>
      <c r="D365" s="9"/>
      <c r="E365" s="9"/>
      <c r="F365" s="9"/>
      <c r="G365" s="10"/>
      <c r="H365" s="10"/>
      <c r="I365" s="10"/>
      <c r="J365" s="7" t="str">
        <f t="shared" si="116"/>
        <v/>
      </c>
      <c r="K365" s="7" t="str">
        <f t="shared" si="117"/>
        <v/>
      </c>
      <c r="L365" s="7" t="str">
        <f t="shared" si="118"/>
        <v/>
      </c>
      <c r="M365" s="7" t="str">
        <f t="shared" si="119"/>
        <v/>
      </c>
      <c r="N365" s="7" t="str">
        <f t="shared" si="120"/>
        <v/>
      </c>
      <c r="O365" s="10"/>
      <c r="P365" s="7" t="str">
        <f t="shared" si="121"/>
        <v/>
      </c>
      <c r="Q365" s="2" t="str">
        <f t="shared" si="122"/>
        <v/>
      </c>
      <c r="R365" s="9" t="s">
        <v>36</v>
      </c>
      <c r="S365" s="9"/>
    </row>
    <row r="366" spans="1:19" ht="16" x14ac:dyDescent="0.2">
      <c r="A366" s="1" t="s">
        <v>466</v>
      </c>
      <c r="B366" s="9"/>
      <c r="C366" s="9"/>
      <c r="D366" s="9"/>
      <c r="E366" s="9"/>
      <c r="F366" s="9"/>
      <c r="G366" s="10"/>
      <c r="H366" s="10"/>
      <c r="I366" s="10"/>
      <c r="J366" s="7" t="str">
        <f t="shared" si="116"/>
        <v/>
      </c>
      <c r="K366" s="7" t="str">
        <f t="shared" si="117"/>
        <v/>
      </c>
      <c r="L366" s="7" t="str">
        <f t="shared" si="118"/>
        <v/>
      </c>
      <c r="M366" s="7" t="str">
        <f t="shared" si="119"/>
        <v/>
      </c>
      <c r="N366" s="7" t="str">
        <f t="shared" si="120"/>
        <v/>
      </c>
      <c r="O366" s="10"/>
      <c r="P366" s="7" t="str">
        <f t="shared" si="121"/>
        <v/>
      </c>
      <c r="Q366" s="2" t="str">
        <f t="shared" si="122"/>
        <v/>
      </c>
      <c r="R366" s="9" t="s">
        <v>36</v>
      </c>
      <c r="S366" s="9"/>
    </row>
    <row r="367" spans="1:19" ht="16" x14ac:dyDescent="0.2">
      <c r="A367" s="1" t="s">
        <v>467</v>
      </c>
      <c r="B367" s="9"/>
      <c r="C367" s="9"/>
      <c r="D367" s="9"/>
      <c r="E367" s="9"/>
      <c r="F367" s="9"/>
      <c r="G367" s="10"/>
      <c r="H367" s="10"/>
      <c r="I367" s="10"/>
      <c r="J367" s="7" t="str">
        <f t="shared" si="116"/>
        <v/>
      </c>
      <c r="K367" s="7" t="str">
        <f t="shared" si="117"/>
        <v/>
      </c>
      <c r="L367" s="7" t="str">
        <f t="shared" si="118"/>
        <v/>
      </c>
      <c r="M367" s="7" t="str">
        <f t="shared" si="119"/>
        <v/>
      </c>
      <c r="N367" s="7" t="str">
        <f t="shared" si="120"/>
        <v/>
      </c>
      <c r="O367" s="10"/>
      <c r="P367" s="7" t="str">
        <f t="shared" si="121"/>
        <v/>
      </c>
      <c r="Q367" s="2" t="str">
        <f t="shared" si="122"/>
        <v/>
      </c>
      <c r="R367" s="9" t="s">
        <v>36</v>
      </c>
      <c r="S367" s="9"/>
    </row>
    <row r="368" spans="1:19" ht="16" x14ac:dyDescent="0.2">
      <c r="A368" s="1" t="s">
        <v>468</v>
      </c>
      <c r="B368" s="9"/>
      <c r="C368" s="9"/>
      <c r="D368" s="9"/>
      <c r="E368" s="9"/>
      <c r="F368" s="9"/>
      <c r="G368" s="10"/>
      <c r="H368" s="10"/>
      <c r="I368" s="10"/>
      <c r="J368" s="7" t="str">
        <f t="shared" si="116"/>
        <v/>
      </c>
      <c r="K368" s="7" t="str">
        <f t="shared" si="117"/>
        <v/>
      </c>
      <c r="L368" s="7" t="str">
        <f t="shared" si="118"/>
        <v/>
      </c>
      <c r="M368" s="7" t="str">
        <f t="shared" si="119"/>
        <v/>
      </c>
      <c r="N368" s="7" t="str">
        <f t="shared" si="120"/>
        <v/>
      </c>
      <c r="O368" s="10"/>
      <c r="P368" s="7" t="str">
        <f t="shared" si="121"/>
        <v/>
      </c>
      <c r="Q368" s="2" t="str">
        <f t="shared" si="122"/>
        <v/>
      </c>
      <c r="R368" s="9" t="s">
        <v>36</v>
      </c>
      <c r="S368" s="9"/>
    </row>
    <row r="369" spans="1:19" ht="16" x14ac:dyDescent="0.2">
      <c r="A369" s="1" t="s">
        <v>469</v>
      </c>
      <c r="B369" s="9"/>
      <c r="C369" s="9"/>
      <c r="D369" s="9"/>
      <c r="E369" s="9"/>
      <c r="F369" s="9"/>
      <c r="G369" s="10"/>
      <c r="H369" s="10"/>
      <c r="I369" s="10"/>
      <c r="J369" s="7" t="str">
        <f t="shared" si="116"/>
        <v/>
      </c>
      <c r="K369" s="7" t="str">
        <f t="shared" si="117"/>
        <v/>
      </c>
      <c r="L369" s="7" t="str">
        <f t="shared" si="118"/>
        <v/>
      </c>
      <c r="M369" s="7" t="str">
        <f t="shared" si="119"/>
        <v/>
      </c>
      <c r="N369" s="7" t="str">
        <f t="shared" si="120"/>
        <v/>
      </c>
      <c r="O369" s="10"/>
      <c r="P369" s="7" t="str">
        <f t="shared" si="121"/>
        <v/>
      </c>
      <c r="Q369" s="2" t="str">
        <f t="shared" si="122"/>
        <v/>
      </c>
      <c r="R369" s="9" t="s">
        <v>36</v>
      </c>
      <c r="S369" s="9"/>
    </row>
    <row r="370" spans="1:19" ht="16" x14ac:dyDescent="0.2">
      <c r="A370" s="1" t="s">
        <v>470</v>
      </c>
      <c r="B370" s="9"/>
      <c r="C370" s="9"/>
      <c r="D370" s="9"/>
      <c r="E370" s="9"/>
      <c r="F370" s="9"/>
      <c r="G370" s="10"/>
      <c r="H370" s="10"/>
      <c r="I370" s="10"/>
      <c r="J370" s="7" t="str">
        <f t="shared" si="116"/>
        <v/>
      </c>
      <c r="K370" s="7" t="str">
        <f t="shared" si="117"/>
        <v/>
      </c>
      <c r="L370" s="7" t="str">
        <f t="shared" si="118"/>
        <v/>
      </c>
      <c r="M370" s="7" t="str">
        <f t="shared" si="119"/>
        <v/>
      </c>
      <c r="N370" s="7" t="str">
        <f t="shared" si="120"/>
        <v/>
      </c>
      <c r="O370" s="10"/>
      <c r="P370" s="7" t="str">
        <f t="shared" si="121"/>
        <v/>
      </c>
      <c r="Q370" s="2" t="str">
        <f t="shared" si="122"/>
        <v/>
      </c>
      <c r="R370" s="9" t="s">
        <v>36</v>
      </c>
      <c r="S370" s="9"/>
    </row>
    <row r="371" spans="1:19" ht="16" x14ac:dyDescent="0.2">
      <c r="A371" s="1" t="s">
        <v>471</v>
      </c>
      <c r="B371" s="9"/>
      <c r="C371" s="9"/>
      <c r="D371" s="9"/>
      <c r="E371" s="9"/>
      <c r="F371" s="9"/>
      <c r="G371" s="10"/>
      <c r="H371" s="10"/>
      <c r="I371" s="10"/>
      <c r="J371" s="7" t="str">
        <f t="shared" si="116"/>
        <v/>
      </c>
      <c r="K371" s="7" t="str">
        <f t="shared" si="117"/>
        <v/>
      </c>
      <c r="L371" s="7" t="str">
        <f t="shared" si="118"/>
        <v/>
      </c>
      <c r="M371" s="7" t="str">
        <f t="shared" si="119"/>
        <v/>
      </c>
      <c r="N371" s="7" t="str">
        <f t="shared" si="120"/>
        <v/>
      </c>
      <c r="O371" s="10"/>
      <c r="P371" s="7" t="str">
        <f t="shared" si="121"/>
        <v/>
      </c>
      <c r="Q371" s="2" t="str">
        <f t="shared" si="122"/>
        <v/>
      </c>
      <c r="R371" s="9" t="s">
        <v>36</v>
      </c>
      <c r="S371" s="9"/>
    </row>
    <row r="372" spans="1:19" ht="16" x14ac:dyDescent="0.2">
      <c r="A372" s="1" t="s">
        <v>472</v>
      </c>
      <c r="B372" s="9"/>
      <c r="C372" s="9"/>
      <c r="D372" s="9"/>
      <c r="E372" s="9"/>
      <c r="F372" s="9"/>
      <c r="G372" s="10"/>
      <c r="H372" s="10"/>
      <c r="I372" s="10"/>
      <c r="J372" s="7" t="str">
        <f t="shared" si="116"/>
        <v/>
      </c>
      <c r="K372" s="7" t="str">
        <f t="shared" si="117"/>
        <v/>
      </c>
      <c r="L372" s="7" t="str">
        <f t="shared" si="118"/>
        <v/>
      </c>
      <c r="M372" s="7" t="str">
        <f t="shared" si="119"/>
        <v/>
      </c>
      <c r="N372" s="7" t="str">
        <f t="shared" si="120"/>
        <v/>
      </c>
      <c r="O372" s="10"/>
      <c r="P372" s="7" t="str">
        <f t="shared" si="121"/>
        <v/>
      </c>
      <c r="Q372" s="2" t="str">
        <f t="shared" si="122"/>
        <v/>
      </c>
      <c r="R372" s="9" t="s">
        <v>36</v>
      </c>
      <c r="S372" s="9"/>
    </row>
    <row r="373" spans="1:19" ht="16" x14ac:dyDescent="0.2">
      <c r="A373" s="1" t="s">
        <v>473</v>
      </c>
      <c r="B373" s="9"/>
      <c r="C373" s="9"/>
      <c r="D373" s="9"/>
      <c r="E373" s="9"/>
      <c r="F373" s="9"/>
      <c r="G373" s="10"/>
      <c r="H373" s="10"/>
      <c r="I373" s="10"/>
      <c r="J373" s="7" t="str">
        <f t="shared" si="116"/>
        <v/>
      </c>
      <c r="K373" s="7" t="str">
        <f t="shared" si="117"/>
        <v/>
      </c>
      <c r="L373" s="7" t="str">
        <f t="shared" si="118"/>
        <v/>
      </c>
      <c r="M373" s="7" t="str">
        <f t="shared" si="119"/>
        <v/>
      </c>
      <c r="N373" s="7" t="str">
        <f t="shared" si="120"/>
        <v/>
      </c>
      <c r="O373" s="10"/>
      <c r="P373" s="7" t="str">
        <f t="shared" si="121"/>
        <v/>
      </c>
      <c r="Q373" s="2" t="str">
        <f t="shared" si="122"/>
        <v/>
      </c>
      <c r="R373" s="9" t="s">
        <v>36</v>
      </c>
      <c r="S373" s="9"/>
    </row>
    <row r="374" spans="1:19" ht="16" x14ac:dyDescent="0.2">
      <c r="A374" s="1" t="s">
        <v>474</v>
      </c>
      <c r="B374" s="9"/>
      <c r="C374" s="9"/>
      <c r="D374" s="9"/>
      <c r="E374" s="9"/>
      <c r="F374" s="9"/>
      <c r="G374" s="10"/>
      <c r="H374" s="10"/>
      <c r="I374" s="10"/>
      <c r="J374" s="7" t="str">
        <f t="shared" si="116"/>
        <v/>
      </c>
      <c r="K374" s="7" t="str">
        <f t="shared" si="117"/>
        <v/>
      </c>
      <c r="L374" s="7" t="str">
        <f t="shared" si="118"/>
        <v/>
      </c>
      <c r="M374" s="7" t="str">
        <f t="shared" si="119"/>
        <v/>
      </c>
      <c r="N374" s="7" t="str">
        <f t="shared" si="120"/>
        <v/>
      </c>
      <c r="O374" s="10"/>
      <c r="P374" s="7" t="str">
        <f t="shared" si="121"/>
        <v/>
      </c>
      <c r="Q374" s="2" t="str">
        <f t="shared" si="122"/>
        <v/>
      </c>
      <c r="R374" s="9" t="s">
        <v>36</v>
      </c>
      <c r="S374" s="9"/>
    </row>
    <row r="375" spans="1:19" ht="16" x14ac:dyDescent="0.2">
      <c r="A375" s="1" t="s">
        <v>475</v>
      </c>
      <c r="B375" s="9"/>
      <c r="C375" s="9"/>
      <c r="D375" s="9"/>
      <c r="E375" s="9"/>
      <c r="F375" s="9"/>
      <c r="G375" s="10"/>
      <c r="H375" s="10"/>
      <c r="I375" s="10"/>
      <c r="J375" s="7" t="str">
        <f t="shared" si="116"/>
        <v/>
      </c>
      <c r="K375" s="7" t="str">
        <f t="shared" si="117"/>
        <v/>
      </c>
      <c r="L375" s="7" t="str">
        <f t="shared" si="118"/>
        <v/>
      </c>
      <c r="M375" s="7" t="str">
        <f t="shared" si="119"/>
        <v/>
      </c>
      <c r="N375" s="7" t="str">
        <f t="shared" si="120"/>
        <v/>
      </c>
      <c r="O375" s="10"/>
      <c r="P375" s="7" t="str">
        <f t="shared" si="121"/>
        <v/>
      </c>
      <c r="Q375" s="2" t="str">
        <f t="shared" si="122"/>
        <v/>
      </c>
      <c r="R375" s="9" t="s">
        <v>36</v>
      </c>
      <c r="S375" s="9"/>
    </row>
    <row r="376" spans="1:19" ht="16" x14ac:dyDescent="0.2">
      <c r="A376" s="1" t="s">
        <v>476</v>
      </c>
      <c r="B376" s="9"/>
      <c r="C376" s="9"/>
      <c r="D376" s="9"/>
      <c r="E376" s="9"/>
      <c r="F376" s="9"/>
      <c r="G376" s="10"/>
      <c r="H376" s="10"/>
      <c r="I376" s="10"/>
      <c r="J376" s="7" t="str">
        <f t="shared" si="116"/>
        <v/>
      </c>
      <c r="K376" s="7" t="str">
        <f t="shared" si="117"/>
        <v/>
      </c>
      <c r="L376" s="7" t="str">
        <f t="shared" si="118"/>
        <v/>
      </c>
      <c r="M376" s="7" t="str">
        <f t="shared" si="119"/>
        <v/>
      </c>
      <c r="N376" s="7" t="str">
        <f t="shared" si="120"/>
        <v/>
      </c>
      <c r="O376" s="10"/>
      <c r="P376" s="7" t="str">
        <f t="shared" si="121"/>
        <v/>
      </c>
      <c r="Q376" s="2" t="str">
        <f t="shared" si="122"/>
        <v/>
      </c>
      <c r="R376" s="9" t="s">
        <v>36</v>
      </c>
      <c r="S376" s="9"/>
    </row>
    <row r="377" spans="1:19" ht="16" x14ac:dyDescent="0.2">
      <c r="A377" s="1" t="s">
        <v>477</v>
      </c>
      <c r="B377" s="9"/>
      <c r="C377" s="9"/>
      <c r="D377" s="9"/>
      <c r="E377" s="9"/>
      <c r="F377" s="9"/>
      <c r="G377" s="10"/>
      <c r="H377" s="10"/>
      <c r="I377" s="10"/>
      <c r="J377" s="7" t="str">
        <f t="shared" si="116"/>
        <v/>
      </c>
      <c r="K377" s="7" t="str">
        <f t="shared" si="117"/>
        <v/>
      </c>
      <c r="L377" s="7" t="str">
        <f t="shared" si="118"/>
        <v/>
      </c>
      <c r="M377" s="7" t="str">
        <f t="shared" si="119"/>
        <v/>
      </c>
      <c r="N377" s="7" t="str">
        <f t="shared" si="120"/>
        <v/>
      </c>
      <c r="O377" s="10"/>
      <c r="P377" s="7" t="str">
        <f t="shared" si="121"/>
        <v/>
      </c>
      <c r="Q377" s="2" t="str">
        <f t="shared" si="122"/>
        <v/>
      </c>
      <c r="R377" s="9" t="s">
        <v>36</v>
      </c>
      <c r="S377" s="9"/>
    </row>
    <row r="378" spans="1:19" ht="16" x14ac:dyDescent="0.2">
      <c r="A378" s="1" t="s">
        <v>478</v>
      </c>
      <c r="B378" s="9"/>
      <c r="C378" s="9"/>
      <c r="D378" s="9"/>
      <c r="E378" s="9"/>
      <c r="F378" s="9"/>
      <c r="G378" s="10"/>
      <c r="H378" s="10"/>
      <c r="I378" s="10"/>
      <c r="J378" s="7" t="str">
        <f t="shared" si="116"/>
        <v/>
      </c>
      <c r="K378" s="7" t="str">
        <f t="shared" si="117"/>
        <v/>
      </c>
      <c r="L378" s="7" t="str">
        <f t="shared" si="118"/>
        <v/>
      </c>
      <c r="M378" s="7" t="str">
        <f t="shared" si="119"/>
        <v/>
      </c>
      <c r="N378" s="7" t="str">
        <f t="shared" si="120"/>
        <v/>
      </c>
      <c r="O378" s="10"/>
      <c r="P378" s="7" t="str">
        <f t="shared" si="121"/>
        <v/>
      </c>
      <c r="Q378" s="2" t="str">
        <f t="shared" si="122"/>
        <v/>
      </c>
      <c r="R378" s="9" t="s">
        <v>36</v>
      </c>
      <c r="S378" s="9"/>
    </row>
    <row r="379" spans="1:19" ht="16" x14ac:dyDescent="0.2">
      <c r="A379" s="1" t="s">
        <v>479</v>
      </c>
      <c r="B379" s="9"/>
      <c r="C379" s="9"/>
      <c r="D379" s="9"/>
      <c r="E379" s="9"/>
      <c r="F379" s="9"/>
      <c r="G379" s="10"/>
      <c r="H379" s="10"/>
      <c r="I379" s="10"/>
      <c r="J379" s="7" t="str">
        <f t="shared" si="116"/>
        <v/>
      </c>
      <c r="K379" s="7" t="str">
        <f t="shared" si="117"/>
        <v/>
      </c>
      <c r="L379" s="7" t="str">
        <f t="shared" si="118"/>
        <v/>
      </c>
      <c r="M379" s="7" t="str">
        <f t="shared" si="119"/>
        <v/>
      </c>
      <c r="N379" s="7" t="str">
        <f t="shared" si="120"/>
        <v/>
      </c>
      <c r="O379" s="10"/>
      <c r="P379" s="7" t="str">
        <f t="shared" si="121"/>
        <v/>
      </c>
      <c r="Q379" s="2" t="str">
        <f t="shared" si="122"/>
        <v/>
      </c>
      <c r="R379" s="9" t="s">
        <v>36</v>
      </c>
      <c r="S379" s="9"/>
    </row>
    <row r="380" spans="1:19" ht="16" x14ac:dyDescent="0.2">
      <c r="A380" s="1" t="s">
        <v>480</v>
      </c>
      <c r="B380" s="9"/>
      <c r="C380" s="9"/>
      <c r="D380" s="9"/>
      <c r="E380" s="9"/>
      <c r="F380" s="9"/>
      <c r="G380" s="10"/>
      <c r="H380" s="10"/>
      <c r="I380" s="10"/>
      <c r="J380" s="7" t="str">
        <f t="shared" si="116"/>
        <v/>
      </c>
      <c r="K380" s="7" t="str">
        <f t="shared" si="117"/>
        <v/>
      </c>
      <c r="L380" s="7" t="str">
        <f t="shared" si="118"/>
        <v/>
      </c>
      <c r="M380" s="7" t="str">
        <f t="shared" si="119"/>
        <v/>
      </c>
      <c r="N380" s="7" t="str">
        <f t="shared" si="120"/>
        <v/>
      </c>
      <c r="O380" s="10"/>
      <c r="P380" s="7" t="str">
        <f t="shared" si="121"/>
        <v/>
      </c>
      <c r="Q380" s="2" t="str">
        <f t="shared" si="122"/>
        <v/>
      </c>
      <c r="R380" s="9" t="s">
        <v>36</v>
      </c>
      <c r="S380" s="9"/>
    </row>
    <row r="381" spans="1:19" ht="16" x14ac:dyDescent="0.2">
      <c r="A381" s="1" t="s">
        <v>481</v>
      </c>
      <c r="B381" s="9"/>
      <c r="C381" s="9"/>
      <c r="D381" s="9"/>
      <c r="E381" s="9"/>
      <c r="F381" s="9"/>
      <c r="G381" s="10"/>
      <c r="H381" s="10"/>
      <c r="I381" s="10"/>
      <c r="J381" s="7" t="str">
        <f t="shared" si="116"/>
        <v/>
      </c>
      <c r="K381" s="7" t="str">
        <f t="shared" si="117"/>
        <v/>
      </c>
      <c r="L381" s="7" t="str">
        <f t="shared" si="118"/>
        <v/>
      </c>
      <c r="M381" s="7" t="str">
        <f t="shared" si="119"/>
        <v/>
      </c>
      <c r="N381" s="7" t="str">
        <f t="shared" si="120"/>
        <v/>
      </c>
      <c r="O381" s="10"/>
      <c r="P381" s="7" t="str">
        <f t="shared" si="121"/>
        <v/>
      </c>
      <c r="Q381" s="2" t="str">
        <f t="shared" si="122"/>
        <v/>
      </c>
      <c r="R381" s="9" t="s">
        <v>36</v>
      </c>
      <c r="S381" s="9"/>
    </row>
    <row r="382" spans="1:19" ht="16" x14ac:dyDescent="0.2">
      <c r="A382" s="1" t="s">
        <v>482</v>
      </c>
      <c r="B382" s="9"/>
      <c r="C382" s="9"/>
      <c r="D382" s="9"/>
      <c r="E382" s="9"/>
      <c r="F382" s="9"/>
      <c r="G382" s="10"/>
      <c r="H382" s="10"/>
      <c r="I382" s="10"/>
      <c r="J382" s="7" t="str">
        <f t="shared" si="116"/>
        <v/>
      </c>
      <c r="K382" s="7" t="str">
        <f t="shared" si="117"/>
        <v/>
      </c>
      <c r="L382" s="7" t="str">
        <f t="shared" si="118"/>
        <v/>
      </c>
      <c r="M382" s="7" t="str">
        <f t="shared" si="119"/>
        <v/>
      </c>
      <c r="N382" s="7" t="str">
        <f t="shared" si="120"/>
        <v/>
      </c>
      <c r="O382" s="10"/>
      <c r="P382" s="7" t="str">
        <f t="shared" si="121"/>
        <v/>
      </c>
      <c r="Q382" s="2" t="str">
        <f t="shared" si="122"/>
        <v/>
      </c>
      <c r="R382" s="9" t="s">
        <v>36</v>
      </c>
      <c r="S382" s="9"/>
    </row>
    <row r="383" spans="1:19" ht="16" x14ac:dyDescent="0.2">
      <c r="A383" s="1" t="s">
        <v>483</v>
      </c>
      <c r="B383" s="9"/>
      <c r="C383" s="9"/>
      <c r="D383" s="9"/>
      <c r="E383" s="9"/>
      <c r="F383" s="9"/>
      <c r="G383" s="10"/>
      <c r="H383" s="10"/>
      <c r="I383" s="10"/>
      <c r="J383" s="7" t="str">
        <f t="shared" si="116"/>
        <v/>
      </c>
      <c r="K383" s="7" t="str">
        <f t="shared" si="117"/>
        <v/>
      </c>
      <c r="L383" s="7" t="str">
        <f t="shared" si="118"/>
        <v/>
      </c>
      <c r="M383" s="7" t="str">
        <f t="shared" si="119"/>
        <v/>
      </c>
      <c r="N383" s="7" t="str">
        <f t="shared" si="120"/>
        <v/>
      </c>
      <c r="O383" s="10"/>
      <c r="P383" s="7" t="str">
        <f t="shared" si="121"/>
        <v/>
      </c>
      <c r="Q383" s="2" t="str">
        <f t="shared" si="122"/>
        <v/>
      </c>
      <c r="R383" s="9" t="s">
        <v>36</v>
      </c>
      <c r="S383" s="9"/>
    </row>
    <row r="384" spans="1:19" ht="16" x14ac:dyDescent="0.2">
      <c r="A384" s="1" t="s">
        <v>484</v>
      </c>
      <c r="B384" s="9"/>
      <c r="C384" s="9"/>
      <c r="D384" s="9"/>
      <c r="E384" s="9"/>
      <c r="F384" s="9"/>
      <c r="G384" s="10"/>
      <c r="H384" s="10"/>
      <c r="I384" s="10"/>
      <c r="J384" s="7" t="str">
        <f t="shared" si="116"/>
        <v/>
      </c>
      <c r="K384" s="7" t="str">
        <f t="shared" si="117"/>
        <v/>
      </c>
      <c r="L384" s="7" t="str">
        <f t="shared" si="118"/>
        <v/>
      </c>
      <c r="M384" s="7" t="str">
        <f t="shared" si="119"/>
        <v/>
      </c>
      <c r="N384" s="7" t="str">
        <f t="shared" si="120"/>
        <v/>
      </c>
      <c r="O384" s="10"/>
      <c r="P384" s="7" t="str">
        <f t="shared" si="121"/>
        <v/>
      </c>
      <c r="Q384" s="2" t="str">
        <f t="shared" si="122"/>
        <v/>
      </c>
      <c r="R384" s="9" t="s">
        <v>36</v>
      </c>
      <c r="S384" s="9"/>
    </row>
    <row r="385" spans="1:19" ht="16" x14ac:dyDescent="0.2">
      <c r="A385" s="1" t="s">
        <v>485</v>
      </c>
      <c r="B385" s="9"/>
      <c r="C385" s="9"/>
      <c r="D385" s="9"/>
      <c r="E385" s="9"/>
      <c r="F385" s="9"/>
      <c r="G385" s="10"/>
      <c r="H385" s="10"/>
      <c r="I385" s="10"/>
      <c r="J385" s="7" t="str">
        <f t="shared" si="116"/>
        <v/>
      </c>
      <c r="K385" s="7" t="str">
        <f t="shared" si="117"/>
        <v/>
      </c>
      <c r="L385" s="7" t="str">
        <f t="shared" si="118"/>
        <v/>
      </c>
      <c r="M385" s="7" t="str">
        <f t="shared" si="119"/>
        <v/>
      </c>
      <c r="N385" s="7" t="str">
        <f t="shared" si="120"/>
        <v/>
      </c>
      <c r="O385" s="10"/>
      <c r="P385" s="7" t="str">
        <f t="shared" si="121"/>
        <v/>
      </c>
      <c r="Q385" s="2" t="str">
        <f t="shared" si="122"/>
        <v/>
      </c>
      <c r="R385" s="9" t="s">
        <v>36</v>
      </c>
      <c r="S385" s="9"/>
    </row>
    <row r="386" spans="1:19" ht="16" x14ac:dyDescent="0.2">
      <c r="A386" s="1" t="s">
        <v>486</v>
      </c>
      <c r="B386" s="9"/>
      <c r="C386" s="9"/>
      <c r="D386" s="9"/>
      <c r="E386" s="9"/>
      <c r="F386" s="9"/>
      <c r="G386" s="10"/>
      <c r="H386" s="10"/>
      <c r="I386" s="10"/>
      <c r="J386" s="7" t="str">
        <f t="shared" ref="J386:J449" si="123">IF(COUNT(G386:I386)=0,"",ROUND(AVERAGE(G386:I386),0))</f>
        <v/>
      </c>
      <c r="K386" s="7" t="str">
        <f t="shared" ref="K386:K449" si="124">IF(J386="","",ROUND(J386/10,0)*10)</f>
        <v/>
      </c>
      <c r="L386" s="7" t="str">
        <f t="shared" ref="L386:L449" si="125">IF(K386="","",ROUND(K386*0.95/10,0)*10)</f>
        <v/>
      </c>
      <c r="M386" s="7" t="str">
        <f t="shared" ref="M386:M449" si="126">IF(K386="","",ROUND(K386*0.92/10,0)*10)</f>
        <v/>
      </c>
      <c r="N386" s="7" t="str">
        <f t="shared" ref="N386:N449" si="127">IF(K386="","",ROUND(K386*0.88/10,0)*10)</f>
        <v/>
      </c>
      <c r="O386" s="10"/>
      <c r="P386" s="7" t="str">
        <f t="shared" ref="P386:P449" si="128">IF(OR(K386="",O386=""),"",K386-O386)</f>
        <v/>
      </c>
      <c r="Q386" s="2" t="str">
        <f t="shared" ref="Q386:Q449" si="129">IF(OR(K386="",O386="",K386=0),"",P386/K386)</f>
        <v/>
      </c>
      <c r="R386" s="9" t="s">
        <v>36</v>
      </c>
      <c r="S386" s="9"/>
    </row>
    <row r="387" spans="1:19" ht="16" x14ac:dyDescent="0.2">
      <c r="A387" s="1" t="s">
        <v>487</v>
      </c>
      <c r="B387" s="9"/>
      <c r="C387" s="9"/>
      <c r="D387" s="9"/>
      <c r="E387" s="9"/>
      <c r="F387" s="9"/>
      <c r="G387" s="10"/>
      <c r="H387" s="10"/>
      <c r="I387" s="10"/>
      <c r="J387" s="7" t="str">
        <f t="shared" si="123"/>
        <v/>
      </c>
      <c r="K387" s="7" t="str">
        <f t="shared" si="124"/>
        <v/>
      </c>
      <c r="L387" s="7" t="str">
        <f t="shared" si="125"/>
        <v/>
      </c>
      <c r="M387" s="7" t="str">
        <f t="shared" si="126"/>
        <v/>
      </c>
      <c r="N387" s="7" t="str">
        <f t="shared" si="127"/>
        <v/>
      </c>
      <c r="O387" s="10"/>
      <c r="P387" s="7" t="str">
        <f t="shared" si="128"/>
        <v/>
      </c>
      <c r="Q387" s="2" t="str">
        <f t="shared" si="129"/>
        <v/>
      </c>
      <c r="R387" s="9" t="s">
        <v>36</v>
      </c>
      <c r="S387" s="9"/>
    </row>
    <row r="388" spans="1:19" ht="16" x14ac:dyDescent="0.2">
      <c r="A388" s="1" t="s">
        <v>488</v>
      </c>
      <c r="B388" s="9"/>
      <c r="C388" s="9"/>
      <c r="D388" s="9"/>
      <c r="E388" s="9"/>
      <c r="F388" s="9"/>
      <c r="G388" s="10"/>
      <c r="H388" s="10"/>
      <c r="I388" s="10"/>
      <c r="J388" s="7" t="str">
        <f t="shared" si="123"/>
        <v/>
      </c>
      <c r="K388" s="7" t="str">
        <f t="shared" si="124"/>
        <v/>
      </c>
      <c r="L388" s="7" t="str">
        <f t="shared" si="125"/>
        <v/>
      </c>
      <c r="M388" s="7" t="str">
        <f t="shared" si="126"/>
        <v/>
      </c>
      <c r="N388" s="7" t="str">
        <f t="shared" si="127"/>
        <v/>
      </c>
      <c r="O388" s="10"/>
      <c r="P388" s="7" t="str">
        <f t="shared" si="128"/>
        <v/>
      </c>
      <c r="Q388" s="2" t="str">
        <f t="shared" si="129"/>
        <v/>
      </c>
      <c r="R388" s="9" t="s">
        <v>36</v>
      </c>
      <c r="S388" s="9"/>
    </row>
    <row r="389" spans="1:19" ht="16" x14ac:dyDescent="0.2">
      <c r="A389" s="1" t="s">
        <v>489</v>
      </c>
      <c r="B389" s="9"/>
      <c r="C389" s="9"/>
      <c r="D389" s="9"/>
      <c r="E389" s="9"/>
      <c r="F389" s="9"/>
      <c r="G389" s="10"/>
      <c r="H389" s="10"/>
      <c r="I389" s="10"/>
      <c r="J389" s="7" t="str">
        <f t="shared" si="123"/>
        <v/>
      </c>
      <c r="K389" s="7" t="str">
        <f t="shared" si="124"/>
        <v/>
      </c>
      <c r="L389" s="7" t="str">
        <f t="shared" si="125"/>
        <v/>
      </c>
      <c r="M389" s="7" t="str">
        <f t="shared" si="126"/>
        <v/>
      </c>
      <c r="N389" s="7" t="str">
        <f t="shared" si="127"/>
        <v/>
      </c>
      <c r="O389" s="10"/>
      <c r="P389" s="7" t="str">
        <f t="shared" si="128"/>
        <v/>
      </c>
      <c r="Q389" s="2" t="str">
        <f t="shared" si="129"/>
        <v/>
      </c>
      <c r="R389" s="9" t="s">
        <v>36</v>
      </c>
      <c r="S389" s="9"/>
    </row>
    <row r="390" spans="1:19" ht="16" x14ac:dyDescent="0.2">
      <c r="A390" s="1" t="s">
        <v>490</v>
      </c>
      <c r="B390" s="9"/>
      <c r="C390" s="9"/>
      <c r="D390" s="9"/>
      <c r="E390" s="9"/>
      <c r="F390" s="9"/>
      <c r="G390" s="10"/>
      <c r="H390" s="10"/>
      <c r="I390" s="10"/>
      <c r="J390" s="7" t="str">
        <f t="shared" si="123"/>
        <v/>
      </c>
      <c r="K390" s="7" t="str">
        <f t="shared" si="124"/>
        <v/>
      </c>
      <c r="L390" s="7" t="str">
        <f t="shared" si="125"/>
        <v/>
      </c>
      <c r="M390" s="7" t="str">
        <f t="shared" si="126"/>
        <v/>
      </c>
      <c r="N390" s="7" t="str">
        <f t="shared" si="127"/>
        <v/>
      </c>
      <c r="O390" s="10"/>
      <c r="P390" s="7" t="str">
        <f t="shared" si="128"/>
        <v/>
      </c>
      <c r="Q390" s="2" t="str">
        <f t="shared" si="129"/>
        <v/>
      </c>
      <c r="R390" s="9" t="s">
        <v>36</v>
      </c>
      <c r="S390" s="9"/>
    </row>
    <row r="391" spans="1:19" ht="16" x14ac:dyDescent="0.2">
      <c r="A391" s="1" t="s">
        <v>491</v>
      </c>
      <c r="B391" s="9"/>
      <c r="C391" s="9"/>
      <c r="D391" s="9"/>
      <c r="E391" s="9"/>
      <c r="F391" s="9"/>
      <c r="G391" s="10"/>
      <c r="H391" s="10"/>
      <c r="I391" s="10"/>
      <c r="J391" s="7" t="str">
        <f t="shared" si="123"/>
        <v/>
      </c>
      <c r="K391" s="7" t="str">
        <f t="shared" si="124"/>
        <v/>
      </c>
      <c r="L391" s="7" t="str">
        <f t="shared" si="125"/>
        <v/>
      </c>
      <c r="M391" s="7" t="str">
        <f t="shared" si="126"/>
        <v/>
      </c>
      <c r="N391" s="7" t="str">
        <f t="shared" si="127"/>
        <v/>
      </c>
      <c r="O391" s="10"/>
      <c r="P391" s="7" t="str">
        <f t="shared" si="128"/>
        <v/>
      </c>
      <c r="Q391" s="2" t="str">
        <f t="shared" si="129"/>
        <v/>
      </c>
      <c r="R391" s="9" t="s">
        <v>36</v>
      </c>
      <c r="S391" s="9"/>
    </row>
    <row r="392" spans="1:19" ht="16" x14ac:dyDescent="0.2">
      <c r="A392" s="1" t="s">
        <v>492</v>
      </c>
      <c r="B392" s="9"/>
      <c r="C392" s="9"/>
      <c r="D392" s="9"/>
      <c r="E392" s="9"/>
      <c r="F392" s="9"/>
      <c r="G392" s="10"/>
      <c r="H392" s="10"/>
      <c r="I392" s="10"/>
      <c r="J392" s="7" t="str">
        <f t="shared" si="123"/>
        <v/>
      </c>
      <c r="K392" s="7" t="str">
        <f t="shared" si="124"/>
        <v/>
      </c>
      <c r="L392" s="7" t="str">
        <f t="shared" si="125"/>
        <v/>
      </c>
      <c r="M392" s="7" t="str">
        <f t="shared" si="126"/>
        <v/>
      </c>
      <c r="N392" s="7" t="str">
        <f t="shared" si="127"/>
        <v/>
      </c>
      <c r="O392" s="10"/>
      <c r="P392" s="7" t="str">
        <f t="shared" si="128"/>
        <v/>
      </c>
      <c r="Q392" s="2" t="str">
        <f t="shared" si="129"/>
        <v/>
      </c>
      <c r="R392" s="9" t="s">
        <v>36</v>
      </c>
      <c r="S392" s="9"/>
    </row>
    <row r="393" spans="1:19" ht="16" x14ac:dyDescent="0.2">
      <c r="A393" s="1" t="s">
        <v>493</v>
      </c>
      <c r="B393" s="9"/>
      <c r="C393" s="9"/>
      <c r="D393" s="9"/>
      <c r="E393" s="9"/>
      <c r="F393" s="9"/>
      <c r="G393" s="10"/>
      <c r="H393" s="10"/>
      <c r="I393" s="10"/>
      <c r="J393" s="7" t="str">
        <f t="shared" si="123"/>
        <v/>
      </c>
      <c r="K393" s="7" t="str">
        <f t="shared" si="124"/>
        <v/>
      </c>
      <c r="L393" s="7" t="str">
        <f t="shared" si="125"/>
        <v/>
      </c>
      <c r="M393" s="7" t="str">
        <f t="shared" si="126"/>
        <v/>
      </c>
      <c r="N393" s="7" t="str">
        <f t="shared" si="127"/>
        <v/>
      </c>
      <c r="O393" s="10"/>
      <c r="P393" s="7" t="str">
        <f t="shared" si="128"/>
        <v/>
      </c>
      <c r="Q393" s="2" t="str">
        <f t="shared" si="129"/>
        <v/>
      </c>
      <c r="R393" s="9" t="s">
        <v>36</v>
      </c>
      <c r="S393" s="9"/>
    </row>
    <row r="394" spans="1:19" ht="16" x14ac:dyDescent="0.2">
      <c r="A394" s="1" t="s">
        <v>494</v>
      </c>
      <c r="B394" s="9"/>
      <c r="C394" s="9"/>
      <c r="D394" s="9"/>
      <c r="E394" s="9"/>
      <c r="F394" s="9"/>
      <c r="G394" s="10"/>
      <c r="H394" s="10"/>
      <c r="I394" s="10"/>
      <c r="J394" s="7" t="str">
        <f t="shared" si="123"/>
        <v/>
      </c>
      <c r="K394" s="7" t="str">
        <f t="shared" si="124"/>
        <v/>
      </c>
      <c r="L394" s="7" t="str">
        <f t="shared" si="125"/>
        <v/>
      </c>
      <c r="M394" s="7" t="str">
        <f t="shared" si="126"/>
        <v/>
      </c>
      <c r="N394" s="7" t="str">
        <f t="shared" si="127"/>
        <v/>
      </c>
      <c r="O394" s="10"/>
      <c r="P394" s="7" t="str">
        <f t="shared" si="128"/>
        <v/>
      </c>
      <c r="Q394" s="2" t="str">
        <f t="shared" si="129"/>
        <v/>
      </c>
      <c r="R394" s="9" t="s">
        <v>36</v>
      </c>
      <c r="S394" s="9"/>
    </row>
    <row r="395" spans="1:19" ht="16" x14ac:dyDescent="0.2">
      <c r="A395" s="1" t="s">
        <v>495</v>
      </c>
      <c r="B395" s="9"/>
      <c r="C395" s="9"/>
      <c r="D395" s="9"/>
      <c r="E395" s="9"/>
      <c r="F395" s="9"/>
      <c r="G395" s="10"/>
      <c r="H395" s="10"/>
      <c r="I395" s="10"/>
      <c r="J395" s="7" t="str">
        <f t="shared" si="123"/>
        <v/>
      </c>
      <c r="K395" s="7" t="str">
        <f t="shared" si="124"/>
        <v/>
      </c>
      <c r="L395" s="7" t="str">
        <f t="shared" si="125"/>
        <v/>
      </c>
      <c r="M395" s="7" t="str">
        <f t="shared" si="126"/>
        <v/>
      </c>
      <c r="N395" s="7" t="str">
        <f t="shared" si="127"/>
        <v/>
      </c>
      <c r="O395" s="10"/>
      <c r="P395" s="7" t="str">
        <f t="shared" si="128"/>
        <v/>
      </c>
      <c r="Q395" s="2" t="str">
        <f t="shared" si="129"/>
        <v/>
      </c>
      <c r="R395" s="9" t="s">
        <v>36</v>
      </c>
      <c r="S395" s="9"/>
    </row>
    <row r="396" spans="1:19" ht="16" x14ac:dyDescent="0.2">
      <c r="A396" s="1" t="s">
        <v>496</v>
      </c>
      <c r="B396" s="9"/>
      <c r="C396" s="9"/>
      <c r="D396" s="9"/>
      <c r="E396" s="9"/>
      <c r="F396" s="9"/>
      <c r="G396" s="10"/>
      <c r="H396" s="10"/>
      <c r="I396" s="10"/>
      <c r="J396" s="7" t="str">
        <f t="shared" si="123"/>
        <v/>
      </c>
      <c r="K396" s="7" t="str">
        <f t="shared" si="124"/>
        <v/>
      </c>
      <c r="L396" s="7" t="str">
        <f t="shared" si="125"/>
        <v/>
      </c>
      <c r="M396" s="7" t="str">
        <f t="shared" si="126"/>
        <v/>
      </c>
      <c r="N396" s="7" t="str">
        <f t="shared" si="127"/>
        <v/>
      </c>
      <c r="O396" s="10"/>
      <c r="P396" s="7" t="str">
        <f t="shared" si="128"/>
        <v/>
      </c>
      <c r="Q396" s="2" t="str">
        <f t="shared" si="129"/>
        <v/>
      </c>
      <c r="R396" s="9" t="s">
        <v>36</v>
      </c>
      <c r="S396" s="9"/>
    </row>
    <row r="397" spans="1:19" ht="16" x14ac:dyDescent="0.2">
      <c r="A397" s="1" t="s">
        <v>497</v>
      </c>
      <c r="B397" s="9"/>
      <c r="C397" s="9"/>
      <c r="D397" s="9"/>
      <c r="E397" s="9"/>
      <c r="F397" s="9"/>
      <c r="G397" s="10"/>
      <c r="H397" s="10"/>
      <c r="I397" s="10"/>
      <c r="J397" s="7" t="str">
        <f t="shared" si="123"/>
        <v/>
      </c>
      <c r="K397" s="7" t="str">
        <f t="shared" si="124"/>
        <v/>
      </c>
      <c r="L397" s="7" t="str">
        <f t="shared" si="125"/>
        <v/>
      </c>
      <c r="M397" s="7" t="str">
        <f t="shared" si="126"/>
        <v/>
      </c>
      <c r="N397" s="7" t="str">
        <f t="shared" si="127"/>
        <v/>
      </c>
      <c r="O397" s="10"/>
      <c r="P397" s="7" t="str">
        <f t="shared" si="128"/>
        <v/>
      </c>
      <c r="Q397" s="2" t="str">
        <f t="shared" si="129"/>
        <v/>
      </c>
      <c r="R397" s="9" t="s">
        <v>36</v>
      </c>
      <c r="S397" s="9"/>
    </row>
    <row r="398" spans="1:19" ht="16" x14ac:dyDescent="0.2">
      <c r="A398" s="1" t="s">
        <v>498</v>
      </c>
      <c r="B398" s="9"/>
      <c r="C398" s="9"/>
      <c r="D398" s="9"/>
      <c r="E398" s="9"/>
      <c r="F398" s="9"/>
      <c r="G398" s="10"/>
      <c r="H398" s="10"/>
      <c r="I398" s="10"/>
      <c r="J398" s="7" t="str">
        <f t="shared" si="123"/>
        <v/>
      </c>
      <c r="K398" s="7" t="str">
        <f t="shared" si="124"/>
        <v/>
      </c>
      <c r="L398" s="7" t="str">
        <f t="shared" si="125"/>
        <v/>
      </c>
      <c r="M398" s="7" t="str">
        <f t="shared" si="126"/>
        <v/>
      </c>
      <c r="N398" s="7" t="str">
        <f t="shared" si="127"/>
        <v/>
      </c>
      <c r="O398" s="10"/>
      <c r="P398" s="7" t="str">
        <f t="shared" si="128"/>
        <v/>
      </c>
      <c r="Q398" s="2" t="str">
        <f t="shared" si="129"/>
        <v/>
      </c>
      <c r="R398" s="9" t="s">
        <v>36</v>
      </c>
      <c r="S398" s="9"/>
    </row>
    <row r="399" spans="1:19" ht="16" x14ac:dyDescent="0.2">
      <c r="A399" s="1" t="s">
        <v>499</v>
      </c>
      <c r="B399" s="9"/>
      <c r="C399" s="9"/>
      <c r="D399" s="9"/>
      <c r="E399" s="9"/>
      <c r="F399" s="9"/>
      <c r="G399" s="10"/>
      <c r="H399" s="10"/>
      <c r="I399" s="10"/>
      <c r="J399" s="7" t="str">
        <f t="shared" si="123"/>
        <v/>
      </c>
      <c r="K399" s="7" t="str">
        <f t="shared" si="124"/>
        <v/>
      </c>
      <c r="L399" s="7" t="str">
        <f t="shared" si="125"/>
        <v/>
      </c>
      <c r="M399" s="7" t="str">
        <f t="shared" si="126"/>
        <v/>
      </c>
      <c r="N399" s="7" t="str">
        <f t="shared" si="127"/>
        <v/>
      </c>
      <c r="O399" s="10"/>
      <c r="P399" s="7" t="str">
        <f t="shared" si="128"/>
        <v/>
      </c>
      <c r="Q399" s="2" t="str">
        <f t="shared" si="129"/>
        <v/>
      </c>
      <c r="R399" s="9" t="s">
        <v>36</v>
      </c>
      <c r="S399" s="9"/>
    </row>
    <row r="400" spans="1:19" ht="16" x14ac:dyDescent="0.2">
      <c r="A400" s="1" t="s">
        <v>500</v>
      </c>
      <c r="B400" s="9"/>
      <c r="C400" s="9"/>
      <c r="D400" s="9"/>
      <c r="E400" s="9"/>
      <c r="F400" s="9"/>
      <c r="G400" s="10"/>
      <c r="H400" s="10"/>
      <c r="I400" s="10"/>
      <c r="J400" s="7" t="str">
        <f t="shared" si="123"/>
        <v/>
      </c>
      <c r="K400" s="7" t="str">
        <f t="shared" si="124"/>
        <v/>
      </c>
      <c r="L400" s="7" t="str">
        <f t="shared" si="125"/>
        <v/>
      </c>
      <c r="M400" s="7" t="str">
        <f t="shared" si="126"/>
        <v/>
      </c>
      <c r="N400" s="7" t="str">
        <f t="shared" si="127"/>
        <v/>
      </c>
      <c r="O400" s="10"/>
      <c r="P400" s="7" t="str">
        <f t="shared" si="128"/>
        <v/>
      </c>
      <c r="Q400" s="2" t="str">
        <f t="shared" si="129"/>
        <v/>
      </c>
      <c r="R400" s="9" t="s">
        <v>36</v>
      </c>
      <c r="S400" s="9"/>
    </row>
    <row r="401" spans="1:19" ht="16" x14ac:dyDescent="0.2">
      <c r="A401" s="1" t="s">
        <v>501</v>
      </c>
      <c r="B401" s="9"/>
      <c r="C401" s="9"/>
      <c r="D401" s="9"/>
      <c r="E401" s="9"/>
      <c r="F401" s="9"/>
      <c r="G401" s="10"/>
      <c r="H401" s="10"/>
      <c r="I401" s="10"/>
      <c r="J401" s="7" t="str">
        <f t="shared" si="123"/>
        <v/>
      </c>
      <c r="K401" s="7" t="str">
        <f t="shared" si="124"/>
        <v/>
      </c>
      <c r="L401" s="7" t="str">
        <f t="shared" si="125"/>
        <v/>
      </c>
      <c r="M401" s="7" t="str">
        <f t="shared" si="126"/>
        <v/>
      </c>
      <c r="N401" s="7" t="str">
        <f t="shared" si="127"/>
        <v/>
      </c>
      <c r="O401" s="10"/>
      <c r="P401" s="7" t="str">
        <f t="shared" si="128"/>
        <v/>
      </c>
      <c r="Q401" s="2" t="str">
        <f t="shared" si="129"/>
        <v/>
      </c>
      <c r="R401" s="9" t="s">
        <v>36</v>
      </c>
      <c r="S401" s="9"/>
    </row>
    <row r="402" spans="1:19" ht="16" x14ac:dyDescent="0.2">
      <c r="A402" s="1" t="s">
        <v>502</v>
      </c>
      <c r="B402" s="9"/>
      <c r="C402" s="9"/>
      <c r="D402" s="9"/>
      <c r="E402" s="9"/>
      <c r="F402" s="9"/>
      <c r="G402" s="10"/>
      <c r="H402" s="10"/>
      <c r="I402" s="10"/>
      <c r="J402" s="7" t="str">
        <f t="shared" si="123"/>
        <v/>
      </c>
      <c r="K402" s="7" t="str">
        <f t="shared" si="124"/>
        <v/>
      </c>
      <c r="L402" s="7" t="str">
        <f t="shared" si="125"/>
        <v/>
      </c>
      <c r="M402" s="7" t="str">
        <f t="shared" si="126"/>
        <v/>
      </c>
      <c r="N402" s="7" t="str">
        <f t="shared" si="127"/>
        <v/>
      </c>
      <c r="O402" s="10"/>
      <c r="P402" s="7" t="str">
        <f t="shared" si="128"/>
        <v/>
      </c>
      <c r="Q402" s="2" t="str">
        <f t="shared" si="129"/>
        <v/>
      </c>
      <c r="R402" s="9" t="s">
        <v>36</v>
      </c>
      <c r="S402" s="9"/>
    </row>
    <row r="403" spans="1:19" ht="16" x14ac:dyDescent="0.2">
      <c r="A403" s="1" t="s">
        <v>503</v>
      </c>
      <c r="B403" s="9"/>
      <c r="C403" s="9"/>
      <c r="D403" s="9"/>
      <c r="E403" s="9"/>
      <c r="F403" s="9"/>
      <c r="G403" s="10"/>
      <c r="H403" s="10"/>
      <c r="I403" s="10"/>
      <c r="J403" s="7" t="str">
        <f t="shared" si="123"/>
        <v/>
      </c>
      <c r="K403" s="7" t="str">
        <f t="shared" si="124"/>
        <v/>
      </c>
      <c r="L403" s="7" t="str">
        <f t="shared" si="125"/>
        <v/>
      </c>
      <c r="M403" s="7" t="str">
        <f t="shared" si="126"/>
        <v/>
      </c>
      <c r="N403" s="7" t="str">
        <f t="shared" si="127"/>
        <v/>
      </c>
      <c r="O403" s="10"/>
      <c r="P403" s="7" t="str">
        <f t="shared" si="128"/>
        <v/>
      </c>
      <c r="Q403" s="2" t="str">
        <f t="shared" si="129"/>
        <v/>
      </c>
      <c r="R403" s="9" t="s">
        <v>36</v>
      </c>
      <c r="S403" s="9"/>
    </row>
    <row r="404" spans="1:19" ht="16" x14ac:dyDescent="0.2">
      <c r="A404" s="1" t="s">
        <v>504</v>
      </c>
      <c r="B404" s="9"/>
      <c r="C404" s="9"/>
      <c r="D404" s="9"/>
      <c r="E404" s="9"/>
      <c r="F404" s="9"/>
      <c r="G404" s="10"/>
      <c r="H404" s="10"/>
      <c r="I404" s="10"/>
      <c r="J404" s="7" t="str">
        <f t="shared" si="123"/>
        <v/>
      </c>
      <c r="K404" s="7" t="str">
        <f t="shared" si="124"/>
        <v/>
      </c>
      <c r="L404" s="7" t="str">
        <f t="shared" si="125"/>
        <v/>
      </c>
      <c r="M404" s="7" t="str">
        <f t="shared" si="126"/>
        <v/>
      </c>
      <c r="N404" s="7" t="str">
        <f t="shared" si="127"/>
        <v/>
      </c>
      <c r="O404" s="10"/>
      <c r="P404" s="7" t="str">
        <f t="shared" si="128"/>
        <v/>
      </c>
      <c r="Q404" s="2" t="str">
        <f t="shared" si="129"/>
        <v/>
      </c>
      <c r="R404" s="9" t="s">
        <v>36</v>
      </c>
      <c r="S404" s="9"/>
    </row>
    <row r="405" spans="1:19" ht="16" x14ac:dyDescent="0.2">
      <c r="A405" s="1" t="s">
        <v>505</v>
      </c>
      <c r="B405" s="9"/>
      <c r="C405" s="9"/>
      <c r="D405" s="9"/>
      <c r="E405" s="9"/>
      <c r="F405" s="9"/>
      <c r="G405" s="10"/>
      <c r="H405" s="10"/>
      <c r="I405" s="10"/>
      <c r="J405" s="7" t="str">
        <f t="shared" si="123"/>
        <v/>
      </c>
      <c r="K405" s="7" t="str">
        <f t="shared" si="124"/>
        <v/>
      </c>
      <c r="L405" s="7" t="str">
        <f t="shared" si="125"/>
        <v/>
      </c>
      <c r="M405" s="7" t="str">
        <f t="shared" si="126"/>
        <v/>
      </c>
      <c r="N405" s="7" t="str">
        <f t="shared" si="127"/>
        <v/>
      </c>
      <c r="O405" s="10"/>
      <c r="P405" s="7" t="str">
        <f t="shared" si="128"/>
        <v/>
      </c>
      <c r="Q405" s="2" t="str">
        <f t="shared" si="129"/>
        <v/>
      </c>
      <c r="R405" s="9" t="s">
        <v>36</v>
      </c>
      <c r="S405" s="9"/>
    </row>
    <row r="406" spans="1:19" ht="16" x14ac:dyDescent="0.2">
      <c r="A406" s="1" t="s">
        <v>506</v>
      </c>
      <c r="B406" s="9"/>
      <c r="C406" s="9"/>
      <c r="D406" s="9"/>
      <c r="E406" s="9"/>
      <c r="F406" s="9"/>
      <c r="G406" s="10"/>
      <c r="H406" s="10"/>
      <c r="I406" s="10"/>
      <c r="J406" s="7" t="str">
        <f t="shared" si="123"/>
        <v/>
      </c>
      <c r="K406" s="7" t="str">
        <f t="shared" si="124"/>
        <v/>
      </c>
      <c r="L406" s="7" t="str">
        <f t="shared" si="125"/>
        <v/>
      </c>
      <c r="M406" s="7" t="str">
        <f t="shared" si="126"/>
        <v/>
      </c>
      <c r="N406" s="7" t="str">
        <f t="shared" si="127"/>
        <v/>
      </c>
      <c r="O406" s="10"/>
      <c r="P406" s="7" t="str">
        <f t="shared" si="128"/>
        <v/>
      </c>
      <c r="Q406" s="2" t="str">
        <f t="shared" si="129"/>
        <v/>
      </c>
      <c r="R406" s="9" t="s">
        <v>36</v>
      </c>
      <c r="S406" s="9"/>
    </row>
    <row r="407" spans="1:19" ht="16" x14ac:dyDescent="0.2">
      <c r="A407" s="1" t="s">
        <v>507</v>
      </c>
      <c r="B407" s="9"/>
      <c r="C407" s="9"/>
      <c r="D407" s="9"/>
      <c r="E407" s="9"/>
      <c r="F407" s="9"/>
      <c r="G407" s="10"/>
      <c r="H407" s="10"/>
      <c r="I407" s="10"/>
      <c r="J407" s="7" t="str">
        <f t="shared" si="123"/>
        <v/>
      </c>
      <c r="K407" s="7" t="str">
        <f t="shared" si="124"/>
        <v/>
      </c>
      <c r="L407" s="7" t="str">
        <f t="shared" si="125"/>
        <v/>
      </c>
      <c r="M407" s="7" t="str">
        <f t="shared" si="126"/>
        <v/>
      </c>
      <c r="N407" s="7" t="str">
        <f t="shared" si="127"/>
        <v/>
      </c>
      <c r="O407" s="10"/>
      <c r="P407" s="7" t="str">
        <f t="shared" si="128"/>
        <v/>
      </c>
      <c r="Q407" s="2" t="str">
        <f t="shared" si="129"/>
        <v/>
      </c>
      <c r="R407" s="9" t="s">
        <v>36</v>
      </c>
      <c r="S407" s="9"/>
    </row>
    <row r="408" spans="1:19" ht="16" x14ac:dyDescent="0.2">
      <c r="A408" s="1" t="s">
        <v>508</v>
      </c>
      <c r="B408" s="9"/>
      <c r="C408" s="9"/>
      <c r="D408" s="9"/>
      <c r="E408" s="9"/>
      <c r="F408" s="9"/>
      <c r="G408" s="10"/>
      <c r="H408" s="10"/>
      <c r="I408" s="10"/>
      <c r="J408" s="7" t="str">
        <f t="shared" si="123"/>
        <v/>
      </c>
      <c r="K408" s="7" t="str">
        <f t="shared" si="124"/>
        <v/>
      </c>
      <c r="L408" s="7" t="str">
        <f t="shared" si="125"/>
        <v/>
      </c>
      <c r="M408" s="7" t="str">
        <f t="shared" si="126"/>
        <v/>
      </c>
      <c r="N408" s="7" t="str">
        <f t="shared" si="127"/>
        <v/>
      </c>
      <c r="O408" s="10"/>
      <c r="P408" s="7" t="str">
        <f t="shared" si="128"/>
        <v/>
      </c>
      <c r="Q408" s="2" t="str">
        <f t="shared" si="129"/>
        <v/>
      </c>
      <c r="R408" s="9" t="s">
        <v>36</v>
      </c>
      <c r="S408" s="9"/>
    </row>
    <row r="409" spans="1:19" ht="16" x14ac:dyDescent="0.2">
      <c r="A409" s="1" t="s">
        <v>509</v>
      </c>
      <c r="B409" s="9"/>
      <c r="C409" s="9"/>
      <c r="D409" s="9"/>
      <c r="E409" s="9"/>
      <c r="F409" s="9"/>
      <c r="G409" s="10"/>
      <c r="H409" s="10"/>
      <c r="I409" s="10"/>
      <c r="J409" s="7" t="str">
        <f t="shared" si="123"/>
        <v/>
      </c>
      <c r="K409" s="7" t="str">
        <f t="shared" si="124"/>
        <v/>
      </c>
      <c r="L409" s="7" t="str">
        <f t="shared" si="125"/>
        <v/>
      </c>
      <c r="M409" s="7" t="str">
        <f t="shared" si="126"/>
        <v/>
      </c>
      <c r="N409" s="7" t="str">
        <f t="shared" si="127"/>
        <v/>
      </c>
      <c r="O409" s="10"/>
      <c r="P409" s="7" t="str">
        <f t="shared" si="128"/>
        <v/>
      </c>
      <c r="Q409" s="2" t="str">
        <f t="shared" si="129"/>
        <v/>
      </c>
      <c r="R409" s="9" t="s">
        <v>36</v>
      </c>
      <c r="S409" s="9"/>
    </row>
    <row r="410" spans="1:19" ht="16" x14ac:dyDescent="0.2">
      <c r="A410" s="1" t="s">
        <v>510</v>
      </c>
      <c r="B410" s="9"/>
      <c r="C410" s="9"/>
      <c r="D410" s="9"/>
      <c r="E410" s="9"/>
      <c r="F410" s="9"/>
      <c r="G410" s="10"/>
      <c r="H410" s="10"/>
      <c r="I410" s="10"/>
      <c r="J410" s="7" t="str">
        <f t="shared" si="123"/>
        <v/>
      </c>
      <c r="K410" s="7" t="str">
        <f t="shared" si="124"/>
        <v/>
      </c>
      <c r="L410" s="7" t="str">
        <f t="shared" si="125"/>
        <v/>
      </c>
      <c r="M410" s="7" t="str">
        <f t="shared" si="126"/>
        <v/>
      </c>
      <c r="N410" s="7" t="str">
        <f t="shared" si="127"/>
        <v/>
      </c>
      <c r="O410" s="10"/>
      <c r="P410" s="7" t="str">
        <f t="shared" si="128"/>
        <v/>
      </c>
      <c r="Q410" s="2" t="str">
        <f t="shared" si="129"/>
        <v/>
      </c>
      <c r="R410" s="9" t="s">
        <v>36</v>
      </c>
      <c r="S410" s="9"/>
    </row>
    <row r="411" spans="1:19" ht="16" x14ac:dyDescent="0.2">
      <c r="A411" s="1" t="s">
        <v>511</v>
      </c>
      <c r="B411" s="9"/>
      <c r="C411" s="9"/>
      <c r="D411" s="9"/>
      <c r="E411" s="9"/>
      <c r="F411" s="9"/>
      <c r="G411" s="10"/>
      <c r="H411" s="10"/>
      <c r="I411" s="10"/>
      <c r="J411" s="7" t="str">
        <f t="shared" si="123"/>
        <v/>
      </c>
      <c r="K411" s="7" t="str">
        <f t="shared" si="124"/>
        <v/>
      </c>
      <c r="L411" s="7" t="str">
        <f t="shared" si="125"/>
        <v/>
      </c>
      <c r="M411" s="7" t="str">
        <f t="shared" si="126"/>
        <v/>
      </c>
      <c r="N411" s="7" t="str">
        <f t="shared" si="127"/>
        <v/>
      </c>
      <c r="O411" s="10"/>
      <c r="P411" s="7" t="str">
        <f t="shared" si="128"/>
        <v/>
      </c>
      <c r="Q411" s="2" t="str">
        <f t="shared" si="129"/>
        <v/>
      </c>
      <c r="R411" s="9" t="s">
        <v>36</v>
      </c>
      <c r="S411" s="9"/>
    </row>
    <row r="412" spans="1:19" ht="16" x14ac:dyDescent="0.2">
      <c r="A412" s="1" t="s">
        <v>512</v>
      </c>
      <c r="B412" s="9"/>
      <c r="C412" s="9"/>
      <c r="D412" s="9"/>
      <c r="E412" s="9"/>
      <c r="F412" s="9"/>
      <c r="G412" s="10"/>
      <c r="H412" s="10"/>
      <c r="I412" s="10"/>
      <c r="J412" s="7" t="str">
        <f t="shared" si="123"/>
        <v/>
      </c>
      <c r="K412" s="7" t="str">
        <f t="shared" si="124"/>
        <v/>
      </c>
      <c r="L412" s="7" t="str">
        <f t="shared" si="125"/>
        <v/>
      </c>
      <c r="M412" s="7" t="str">
        <f t="shared" si="126"/>
        <v/>
      </c>
      <c r="N412" s="7" t="str">
        <f t="shared" si="127"/>
        <v/>
      </c>
      <c r="O412" s="10"/>
      <c r="P412" s="7" t="str">
        <f t="shared" si="128"/>
        <v/>
      </c>
      <c r="Q412" s="2" t="str">
        <f t="shared" si="129"/>
        <v/>
      </c>
      <c r="R412" s="9" t="s">
        <v>36</v>
      </c>
      <c r="S412" s="9"/>
    </row>
    <row r="413" spans="1:19" ht="16" x14ac:dyDescent="0.2">
      <c r="A413" s="1" t="s">
        <v>513</v>
      </c>
      <c r="B413" s="9"/>
      <c r="C413" s="9"/>
      <c r="D413" s="9"/>
      <c r="E413" s="9"/>
      <c r="F413" s="9"/>
      <c r="G413" s="10"/>
      <c r="H413" s="10"/>
      <c r="I413" s="10"/>
      <c r="J413" s="7" t="str">
        <f t="shared" si="123"/>
        <v/>
      </c>
      <c r="K413" s="7" t="str">
        <f t="shared" si="124"/>
        <v/>
      </c>
      <c r="L413" s="7" t="str">
        <f t="shared" si="125"/>
        <v/>
      </c>
      <c r="M413" s="7" t="str">
        <f t="shared" si="126"/>
        <v/>
      </c>
      <c r="N413" s="7" t="str">
        <f t="shared" si="127"/>
        <v/>
      </c>
      <c r="O413" s="10"/>
      <c r="P413" s="7" t="str">
        <f t="shared" si="128"/>
        <v/>
      </c>
      <c r="Q413" s="2" t="str">
        <f t="shared" si="129"/>
        <v/>
      </c>
      <c r="R413" s="9" t="s">
        <v>36</v>
      </c>
      <c r="S413" s="9"/>
    </row>
    <row r="414" spans="1:19" ht="16" x14ac:dyDescent="0.2">
      <c r="A414" s="1" t="s">
        <v>514</v>
      </c>
      <c r="B414" s="9"/>
      <c r="C414" s="9"/>
      <c r="D414" s="9"/>
      <c r="E414" s="9"/>
      <c r="F414" s="9"/>
      <c r="G414" s="10"/>
      <c r="H414" s="10"/>
      <c r="I414" s="10"/>
      <c r="J414" s="7" t="str">
        <f t="shared" si="123"/>
        <v/>
      </c>
      <c r="K414" s="7" t="str">
        <f t="shared" si="124"/>
        <v/>
      </c>
      <c r="L414" s="7" t="str">
        <f t="shared" si="125"/>
        <v/>
      </c>
      <c r="M414" s="7" t="str">
        <f t="shared" si="126"/>
        <v/>
      </c>
      <c r="N414" s="7" t="str">
        <f t="shared" si="127"/>
        <v/>
      </c>
      <c r="O414" s="10"/>
      <c r="P414" s="7" t="str">
        <f t="shared" si="128"/>
        <v/>
      </c>
      <c r="Q414" s="2" t="str">
        <f t="shared" si="129"/>
        <v/>
      </c>
      <c r="R414" s="9" t="s">
        <v>36</v>
      </c>
      <c r="S414" s="9"/>
    </row>
    <row r="415" spans="1:19" ht="16" x14ac:dyDescent="0.2">
      <c r="A415" s="1" t="s">
        <v>515</v>
      </c>
      <c r="B415" s="9"/>
      <c r="C415" s="9"/>
      <c r="D415" s="9"/>
      <c r="E415" s="9"/>
      <c r="F415" s="9"/>
      <c r="G415" s="10"/>
      <c r="H415" s="10"/>
      <c r="I415" s="10"/>
      <c r="J415" s="7" t="str">
        <f t="shared" si="123"/>
        <v/>
      </c>
      <c r="K415" s="7" t="str">
        <f t="shared" si="124"/>
        <v/>
      </c>
      <c r="L415" s="7" t="str">
        <f t="shared" si="125"/>
        <v/>
      </c>
      <c r="M415" s="7" t="str">
        <f t="shared" si="126"/>
        <v/>
      </c>
      <c r="N415" s="7" t="str">
        <f t="shared" si="127"/>
        <v/>
      </c>
      <c r="O415" s="10"/>
      <c r="P415" s="7" t="str">
        <f t="shared" si="128"/>
        <v/>
      </c>
      <c r="Q415" s="2" t="str">
        <f t="shared" si="129"/>
        <v/>
      </c>
      <c r="R415" s="9" t="s">
        <v>36</v>
      </c>
      <c r="S415" s="9"/>
    </row>
    <row r="416" spans="1:19" ht="16" x14ac:dyDescent="0.2">
      <c r="A416" s="1" t="s">
        <v>516</v>
      </c>
      <c r="B416" s="9"/>
      <c r="C416" s="9"/>
      <c r="D416" s="9"/>
      <c r="E416" s="9"/>
      <c r="F416" s="9"/>
      <c r="G416" s="10"/>
      <c r="H416" s="10"/>
      <c r="I416" s="10"/>
      <c r="J416" s="7" t="str">
        <f t="shared" si="123"/>
        <v/>
      </c>
      <c r="K416" s="7" t="str">
        <f t="shared" si="124"/>
        <v/>
      </c>
      <c r="L416" s="7" t="str">
        <f t="shared" si="125"/>
        <v/>
      </c>
      <c r="M416" s="7" t="str">
        <f t="shared" si="126"/>
        <v/>
      </c>
      <c r="N416" s="7" t="str">
        <f t="shared" si="127"/>
        <v/>
      </c>
      <c r="O416" s="10"/>
      <c r="P416" s="7" t="str">
        <f t="shared" si="128"/>
        <v/>
      </c>
      <c r="Q416" s="2" t="str">
        <f t="shared" si="129"/>
        <v/>
      </c>
      <c r="R416" s="9" t="s">
        <v>36</v>
      </c>
      <c r="S416" s="9"/>
    </row>
    <row r="417" spans="1:19" ht="16" x14ac:dyDescent="0.2">
      <c r="A417" s="1" t="s">
        <v>517</v>
      </c>
      <c r="B417" s="9"/>
      <c r="C417" s="9"/>
      <c r="D417" s="9"/>
      <c r="E417" s="9"/>
      <c r="F417" s="9"/>
      <c r="G417" s="10"/>
      <c r="H417" s="10"/>
      <c r="I417" s="10"/>
      <c r="J417" s="7" t="str">
        <f t="shared" si="123"/>
        <v/>
      </c>
      <c r="K417" s="7" t="str">
        <f t="shared" si="124"/>
        <v/>
      </c>
      <c r="L417" s="7" t="str">
        <f t="shared" si="125"/>
        <v/>
      </c>
      <c r="M417" s="7" t="str">
        <f t="shared" si="126"/>
        <v/>
      </c>
      <c r="N417" s="7" t="str">
        <f t="shared" si="127"/>
        <v/>
      </c>
      <c r="O417" s="10"/>
      <c r="P417" s="7" t="str">
        <f t="shared" si="128"/>
        <v/>
      </c>
      <c r="Q417" s="2" t="str">
        <f t="shared" si="129"/>
        <v/>
      </c>
      <c r="R417" s="9" t="s">
        <v>36</v>
      </c>
      <c r="S417" s="9"/>
    </row>
    <row r="418" spans="1:19" ht="16" x14ac:dyDescent="0.2">
      <c r="A418" s="1" t="s">
        <v>518</v>
      </c>
      <c r="B418" s="9"/>
      <c r="C418" s="9"/>
      <c r="D418" s="9"/>
      <c r="E418" s="9"/>
      <c r="F418" s="9"/>
      <c r="G418" s="10"/>
      <c r="H418" s="10"/>
      <c r="I418" s="10"/>
      <c r="J418" s="7" t="str">
        <f t="shared" si="123"/>
        <v/>
      </c>
      <c r="K418" s="7" t="str">
        <f t="shared" si="124"/>
        <v/>
      </c>
      <c r="L418" s="7" t="str">
        <f t="shared" si="125"/>
        <v/>
      </c>
      <c r="M418" s="7" t="str">
        <f t="shared" si="126"/>
        <v/>
      </c>
      <c r="N418" s="7" t="str">
        <f t="shared" si="127"/>
        <v/>
      </c>
      <c r="O418" s="10"/>
      <c r="P418" s="7" t="str">
        <f t="shared" si="128"/>
        <v/>
      </c>
      <c r="Q418" s="2" t="str">
        <f t="shared" si="129"/>
        <v/>
      </c>
      <c r="R418" s="9" t="s">
        <v>36</v>
      </c>
      <c r="S418" s="9"/>
    </row>
    <row r="419" spans="1:19" ht="16" x14ac:dyDescent="0.2">
      <c r="A419" s="1" t="s">
        <v>519</v>
      </c>
      <c r="B419" s="9"/>
      <c r="C419" s="9"/>
      <c r="D419" s="9"/>
      <c r="E419" s="9"/>
      <c r="F419" s="9"/>
      <c r="G419" s="10"/>
      <c r="H419" s="10"/>
      <c r="I419" s="10"/>
      <c r="J419" s="7" t="str">
        <f t="shared" si="123"/>
        <v/>
      </c>
      <c r="K419" s="7" t="str">
        <f t="shared" si="124"/>
        <v/>
      </c>
      <c r="L419" s="7" t="str">
        <f t="shared" si="125"/>
        <v/>
      </c>
      <c r="M419" s="7" t="str">
        <f t="shared" si="126"/>
        <v/>
      </c>
      <c r="N419" s="7" t="str">
        <f t="shared" si="127"/>
        <v/>
      </c>
      <c r="O419" s="10"/>
      <c r="P419" s="7" t="str">
        <f t="shared" si="128"/>
        <v/>
      </c>
      <c r="Q419" s="2" t="str">
        <f t="shared" si="129"/>
        <v/>
      </c>
      <c r="R419" s="9" t="s">
        <v>36</v>
      </c>
      <c r="S419" s="9"/>
    </row>
    <row r="420" spans="1:19" ht="16" x14ac:dyDescent="0.2">
      <c r="A420" s="1" t="s">
        <v>520</v>
      </c>
      <c r="B420" s="9"/>
      <c r="C420" s="9"/>
      <c r="D420" s="9"/>
      <c r="E420" s="9"/>
      <c r="F420" s="9"/>
      <c r="G420" s="10"/>
      <c r="H420" s="10"/>
      <c r="I420" s="10"/>
      <c r="J420" s="7" t="str">
        <f t="shared" si="123"/>
        <v/>
      </c>
      <c r="K420" s="7" t="str">
        <f t="shared" si="124"/>
        <v/>
      </c>
      <c r="L420" s="7" t="str">
        <f t="shared" si="125"/>
        <v/>
      </c>
      <c r="M420" s="7" t="str">
        <f t="shared" si="126"/>
        <v/>
      </c>
      <c r="N420" s="7" t="str">
        <f t="shared" si="127"/>
        <v/>
      </c>
      <c r="O420" s="10"/>
      <c r="P420" s="7" t="str">
        <f t="shared" si="128"/>
        <v/>
      </c>
      <c r="Q420" s="2" t="str">
        <f t="shared" si="129"/>
        <v/>
      </c>
      <c r="R420" s="9" t="s">
        <v>36</v>
      </c>
      <c r="S420" s="9"/>
    </row>
    <row r="421" spans="1:19" ht="16" x14ac:dyDescent="0.2">
      <c r="A421" s="1" t="s">
        <v>521</v>
      </c>
      <c r="B421" s="9"/>
      <c r="C421" s="9"/>
      <c r="D421" s="9"/>
      <c r="E421" s="9"/>
      <c r="F421" s="9"/>
      <c r="G421" s="10"/>
      <c r="H421" s="10"/>
      <c r="I421" s="10"/>
      <c r="J421" s="7" t="str">
        <f t="shared" si="123"/>
        <v/>
      </c>
      <c r="K421" s="7" t="str">
        <f t="shared" si="124"/>
        <v/>
      </c>
      <c r="L421" s="7" t="str">
        <f t="shared" si="125"/>
        <v/>
      </c>
      <c r="M421" s="7" t="str">
        <f t="shared" si="126"/>
        <v/>
      </c>
      <c r="N421" s="7" t="str">
        <f t="shared" si="127"/>
        <v/>
      </c>
      <c r="O421" s="10"/>
      <c r="P421" s="7" t="str">
        <f t="shared" si="128"/>
        <v/>
      </c>
      <c r="Q421" s="2" t="str">
        <f t="shared" si="129"/>
        <v/>
      </c>
      <c r="R421" s="9" t="s">
        <v>36</v>
      </c>
      <c r="S421" s="9"/>
    </row>
    <row r="422" spans="1:19" ht="16" x14ac:dyDescent="0.2">
      <c r="A422" s="1" t="s">
        <v>522</v>
      </c>
      <c r="B422" s="9"/>
      <c r="C422" s="9"/>
      <c r="D422" s="9"/>
      <c r="E422" s="9"/>
      <c r="F422" s="9"/>
      <c r="G422" s="10"/>
      <c r="H422" s="10"/>
      <c r="I422" s="10"/>
      <c r="J422" s="7" t="str">
        <f t="shared" si="123"/>
        <v/>
      </c>
      <c r="K422" s="7" t="str">
        <f t="shared" si="124"/>
        <v/>
      </c>
      <c r="L422" s="7" t="str">
        <f t="shared" si="125"/>
        <v/>
      </c>
      <c r="M422" s="7" t="str">
        <f t="shared" si="126"/>
        <v/>
      </c>
      <c r="N422" s="7" t="str">
        <f t="shared" si="127"/>
        <v/>
      </c>
      <c r="O422" s="10"/>
      <c r="P422" s="7" t="str">
        <f t="shared" si="128"/>
        <v/>
      </c>
      <c r="Q422" s="2" t="str">
        <f t="shared" si="129"/>
        <v/>
      </c>
      <c r="R422" s="9" t="s">
        <v>36</v>
      </c>
      <c r="S422" s="9"/>
    </row>
    <row r="423" spans="1:19" ht="16" x14ac:dyDescent="0.2">
      <c r="A423" s="1" t="s">
        <v>523</v>
      </c>
      <c r="B423" s="9"/>
      <c r="C423" s="9"/>
      <c r="D423" s="9"/>
      <c r="E423" s="9"/>
      <c r="F423" s="9"/>
      <c r="G423" s="10"/>
      <c r="H423" s="10"/>
      <c r="I423" s="10"/>
      <c r="J423" s="7" t="str">
        <f t="shared" si="123"/>
        <v/>
      </c>
      <c r="K423" s="7" t="str">
        <f t="shared" si="124"/>
        <v/>
      </c>
      <c r="L423" s="7" t="str">
        <f t="shared" si="125"/>
        <v/>
      </c>
      <c r="M423" s="7" t="str">
        <f t="shared" si="126"/>
        <v/>
      </c>
      <c r="N423" s="7" t="str">
        <f t="shared" si="127"/>
        <v/>
      </c>
      <c r="O423" s="10"/>
      <c r="P423" s="7" t="str">
        <f t="shared" si="128"/>
        <v/>
      </c>
      <c r="Q423" s="2" t="str">
        <f t="shared" si="129"/>
        <v/>
      </c>
      <c r="R423" s="9" t="s">
        <v>36</v>
      </c>
      <c r="S423" s="9"/>
    </row>
    <row r="424" spans="1:19" ht="16" x14ac:dyDescent="0.2">
      <c r="A424" s="1" t="s">
        <v>524</v>
      </c>
      <c r="B424" s="9"/>
      <c r="C424" s="9"/>
      <c r="D424" s="9"/>
      <c r="E424" s="9"/>
      <c r="F424" s="9"/>
      <c r="G424" s="10"/>
      <c r="H424" s="10"/>
      <c r="I424" s="10"/>
      <c r="J424" s="7" t="str">
        <f t="shared" si="123"/>
        <v/>
      </c>
      <c r="K424" s="7" t="str">
        <f t="shared" si="124"/>
        <v/>
      </c>
      <c r="L424" s="7" t="str">
        <f t="shared" si="125"/>
        <v/>
      </c>
      <c r="M424" s="7" t="str">
        <f t="shared" si="126"/>
        <v/>
      </c>
      <c r="N424" s="7" t="str">
        <f t="shared" si="127"/>
        <v/>
      </c>
      <c r="O424" s="10"/>
      <c r="P424" s="7" t="str">
        <f t="shared" si="128"/>
        <v/>
      </c>
      <c r="Q424" s="2" t="str">
        <f t="shared" si="129"/>
        <v/>
      </c>
      <c r="R424" s="9" t="s">
        <v>36</v>
      </c>
      <c r="S424" s="9"/>
    </row>
    <row r="425" spans="1:19" ht="16" x14ac:dyDescent="0.2">
      <c r="A425" s="1" t="s">
        <v>525</v>
      </c>
      <c r="B425" s="9"/>
      <c r="C425" s="9"/>
      <c r="D425" s="9"/>
      <c r="E425" s="9"/>
      <c r="F425" s="9"/>
      <c r="G425" s="10"/>
      <c r="H425" s="10"/>
      <c r="I425" s="10"/>
      <c r="J425" s="7" t="str">
        <f t="shared" si="123"/>
        <v/>
      </c>
      <c r="K425" s="7" t="str">
        <f t="shared" si="124"/>
        <v/>
      </c>
      <c r="L425" s="7" t="str">
        <f t="shared" si="125"/>
        <v/>
      </c>
      <c r="M425" s="7" t="str">
        <f t="shared" si="126"/>
        <v/>
      </c>
      <c r="N425" s="7" t="str">
        <f t="shared" si="127"/>
        <v/>
      </c>
      <c r="O425" s="10"/>
      <c r="P425" s="7" t="str">
        <f t="shared" si="128"/>
        <v/>
      </c>
      <c r="Q425" s="2" t="str">
        <f t="shared" si="129"/>
        <v/>
      </c>
      <c r="R425" s="9" t="s">
        <v>36</v>
      </c>
      <c r="S425" s="9"/>
    </row>
    <row r="426" spans="1:19" ht="16" x14ac:dyDescent="0.2">
      <c r="A426" s="1" t="s">
        <v>526</v>
      </c>
      <c r="B426" s="9"/>
      <c r="C426" s="9"/>
      <c r="D426" s="9"/>
      <c r="E426" s="9"/>
      <c r="F426" s="9"/>
      <c r="G426" s="10"/>
      <c r="H426" s="10"/>
      <c r="I426" s="10"/>
      <c r="J426" s="7" t="str">
        <f t="shared" si="123"/>
        <v/>
      </c>
      <c r="K426" s="7" t="str">
        <f t="shared" si="124"/>
        <v/>
      </c>
      <c r="L426" s="7" t="str">
        <f t="shared" si="125"/>
        <v/>
      </c>
      <c r="M426" s="7" t="str">
        <f t="shared" si="126"/>
        <v/>
      </c>
      <c r="N426" s="7" t="str">
        <f t="shared" si="127"/>
        <v/>
      </c>
      <c r="O426" s="10"/>
      <c r="P426" s="7" t="str">
        <f t="shared" si="128"/>
        <v/>
      </c>
      <c r="Q426" s="2" t="str">
        <f t="shared" si="129"/>
        <v/>
      </c>
      <c r="R426" s="9" t="s">
        <v>36</v>
      </c>
      <c r="S426" s="9"/>
    </row>
    <row r="427" spans="1:19" ht="16" x14ac:dyDescent="0.2">
      <c r="A427" s="1" t="s">
        <v>527</v>
      </c>
      <c r="B427" s="9"/>
      <c r="C427" s="9"/>
      <c r="D427" s="9"/>
      <c r="E427" s="9"/>
      <c r="F427" s="9"/>
      <c r="G427" s="10"/>
      <c r="H427" s="10"/>
      <c r="I427" s="10"/>
      <c r="J427" s="7" t="str">
        <f t="shared" si="123"/>
        <v/>
      </c>
      <c r="K427" s="7" t="str">
        <f t="shared" si="124"/>
        <v/>
      </c>
      <c r="L427" s="7" t="str">
        <f t="shared" si="125"/>
        <v/>
      </c>
      <c r="M427" s="7" t="str">
        <f t="shared" si="126"/>
        <v/>
      </c>
      <c r="N427" s="7" t="str">
        <f t="shared" si="127"/>
        <v/>
      </c>
      <c r="O427" s="10"/>
      <c r="P427" s="7" t="str">
        <f t="shared" si="128"/>
        <v/>
      </c>
      <c r="Q427" s="2" t="str">
        <f t="shared" si="129"/>
        <v/>
      </c>
      <c r="R427" s="9" t="s">
        <v>36</v>
      </c>
      <c r="S427" s="9"/>
    </row>
    <row r="428" spans="1:19" ht="16" x14ac:dyDescent="0.2">
      <c r="A428" s="1" t="s">
        <v>528</v>
      </c>
      <c r="B428" s="9"/>
      <c r="C428" s="9"/>
      <c r="D428" s="9"/>
      <c r="E428" s="9"/>
      <c r="F428" s="9"/>
      <c r="G428" s="10"/>
      <c r="H428" s="10"/>
      <c r="I428" s="10"/>
      <c r="J428" s="7" t="str">
        <f t="shared" si="123"/>
        <v/>
      </c>
      <c r="K428" s="7" t="str">
        <f t="shared" si="124"/>
        <v/>
      </c>
      <c r="L428" s="7" t="str">
        <f t="shared" si="125"/>
        <v/>
      </c>
      <c r="M428" s="7" t="str">
        <f t="shared" si="126"/>
        <v/>
      </c>
      <c r="N428" s="7" t="str">
        <f t="shared" si="127"/>
        <v/>
      </c>
      <c r="O428" s="10"/>
      <c r="P428" s="7" t="str">
        <f t="shared" si="128"/>
        <v/>
      </c>
      <c r="Q428" s="2" t="str">
        <f t="shared" si="129"/>
        <v/>
      </c>
      <c r="R428" s="9" t="s">
        <v>36</v>
      </c>
      <c r="S428" s="9"/>
    </row>
    <row r="429" spans="1:19" ht="16" x14ac:dyDescent="0.2">
      <c r="A429" s="1" t="s">
        <v>529</v>
      </c>
      <c r="B429" s="9"/>
      <c r="C429" s="9"/>
      <c r="D429" s="9"/>
      <c r="E429" s="9"/>
      <c r="F429" s="9"/>
      <c r="G429" s="10"/>
      <c r="H429" s="10"/>
      <c r="I429" s="10"/>
      <c r="J429" s="7" t="str">
        <f t="shared" si="123"/>
        <v/>
      </c>
      <c r="K429" s="7" t="str">
        <f t="shared" si="124"/>
        <v/>
      </c>
      <c r="L429" s="7" t="str">
        <f t="shared" si="125"/>
        <v/>
      </c>
      <c r="M429" s="7" t="str">
        <f t="shared" si="126"/>
        <v/>
      </c>
      <c r="N429" s="7" t="str">
        <f t="shared" si="127"/>
        <v/>
      </c>
      <c r="O429" s="10"/>
      <c r="P429" s="7" t="str">
        <f t="shared" si="128"/>
        <v/>
      </c>
      <c r="Q429" s="2" t="str">
        <f t="shared" si="129"/>
        <v/>
      </c>
      <c r="R429" s="9" t="s">
        <v>36</v>
      </c>
      <c r="S429" s="9"/>
    </row>
    <row r="430" spans="1:19" ht="16" x14ac:dyDescent="0.2">
      <c r="A430" s="1" t="s">
        <v>530</v>
      </c>
      <c r="B430" s="9"/>
      <c r="C430" s="9"/>
      <c r="D430" s="9"/>
      <c r="E430" s="9"/>
      <c r="F430" s="9"/>
      <c r="G430" s="10"/>
      <c r="H430" s="10"/>
      <c r="I430" s="10"/>
      <c r="J430" s="7" t="str">
        <f t="shared" si="123"/>
        <v/>
      </c>
      <c r="K430" s="7" t="str">
        <f t="shared" si="124"/>
        <v/>
      </c>
      <c r="L430" s="7" t="str">
        <f t="shared" si="125"/>
        <v/>
      </c>
      <c r="M430" s="7" t="str">
        <f t="shared" si="126"/>
        <v/>
      </c>
      <c r="N430" s="7" t="str">
        <f t="shared" si="127"/>
        <v/>
      </c>
      <c r="O430" s="10"/>
      <c r="P430" s="7" t="str">
        <f t="shared" si="128"/>
        <v/>
      </c>
      <c r="Q430" s="2" t="str">
        <f t="shared" si="129"/>
        <v/>
      </c>
      <c r="R430" s="9" t="s">
        <v>36</v>
      </c>
      <c r="S430" s="9"/>
    </row>
    <row r="431" spans="1:19" ht="16" x14ac:dyDescent="0.2">
      <c r="A431" s="1" t="s">
        <v>531</v>
      </c>
      <c r="B431" s="9"/>
      <c r="C431" s="9"/>
      <c r="D431" s="9"/>
      <c r="E431" s="9"/>
      <c r="F431" s="9"/>
      <c r="G431" s="10"/>
      <c r="H431" s="10"/>
      <c r="I431" s="10"/>
      <c r="J431" s="7" t="str">
        <f t="shared" si="123"/>
        <v/>
      </c>
      <c r="K431" s="7" t="str">
        <f t="shared" si="124"/>
        <v/>
      </c>
      <c r="L431" s="7" t="str">
        <f t="shared" si="125"/>
        <v/>
      </c>
      <c r="M431" s="7" t="str">
        <f t="shared" si="126"/>
        <v/>
      </c>
      <c r="N431" s="7" t="str">
        <f t="shared" si="127"/>
        <v/>
      </c>
      <c r="O431" s="10"/>
      <c r="P431" s="7" t="str">
        <f t="shared" si="128"/>
        <v/>
      </c>
      <c r="Q431" s="2" t="str">
        <f t="shared" si="129"/>
        <v/>
      </c>
      <c r="R431" s="9" t="s">
        <v>36</v>
      </c>
      <c r="S431" s="9"/>
    </row>
    <row r="432" spans="1:19" ht="16" x14ac:dyDescent="0.2">
      <c r="A432" s="1" t="s">
        <v>532</v>
      </c>
      <c r="B432" s="9"/>
      <c r="C432" s="9"/>
      <c r="D432" s="9"/>
      <c r="E432" s="9"/>
      <c r="F432" s="9"/>
      <c r="G432" s="10"/>
      <c r="H432" s="10"/>
      <c r="I432" s="10"/>
      <c r="J432" s="7" t="str">
        <f t="shared" si="123"/>
        <v/>
      </c>
      <c r="K432" s="7" t="str">
        <f t="shared" si="124"/>
        <v/>
      </c>
      <c r="L432" s="7" t="str">
        <f t="shared" si="125"/>
        <v/>
      </c>
      <c r="M432" s="7" t="str">
        <f t="shared" si="126"/>
        <v/>
      </c>
      <c r="N432" s="7" t="str">
        <f t="shared" si="127"/>
        <v/>
      </c>
      <c r="O432" s="10"/>
      <c r="P432" s="7" t="str">
        <f t="shared" si="128"/>
        <v/>
      </c>
      <c r="Q432" s="2" t="str">
        <f t="shared" si="129"/>
        <v/>
      </c>
      <c r="R432" s="9" t="s">
        <v>36</v>
      </c>
      <c r="S432" s="9"/>
    </row>
    <row r="433" spans="1:19" ht="16" x14ac:dyDescent="0.2">
      <c r="A433" s="1" t="s">
        <v>533</v>
      </c>
      <c r="B433" s="9"/>
      <c r="C433" s="9"/>
      <c r="D433" s="9"/>
      <c r="E433" s="9"/>
      <c r="F433" s="9"/>
      <c r="G433" s="10"/>
      <c r="H433" s="10"/>
      <c r="I433" s="10"/>
      <c r="J433" s="7" t="str">
        <f t="shared" si="123"/>
        <v/>
      </c>
      <c r="K433" s="7" t="str">
        <f t="shared" si="124"/>
        <v/>
      </c>
      <c r="L433" s="7" t="str">
        <f t="shared" si="125"/>
        <v/>
      </c>
      <c r="M433" s="7" t="str">
        <f t="shared" si="126"/>
        <v/>
      </c>
      <c r="N433" s="7" t="str">
        <f t="shared" si="127"/>
        <v/>
      </c>
      <c r="O433" s="10"/>
      <c r="P433" s="7" t="str">
        <f t="shared" si="128"/>
        <v/>
      </c>
      <c r="Q433" s="2" t="str">
        <f t="shared" si="129"/>
        <v/>
      </c>
      <c r="R433" s="9" t="s">
        <v>36</v>
      </c>
      <c r="S433" s="9"/>
    </row>
    <row r="434" spans="1:19" ht="16" x14ac:dyDescent="0.2">
      <c r="A434" s="1" t="s">
        <v>534</v>
      </c>
      <c r="B434" s="9"/>
      <c r="C434" s="9"/>
      <c r="D434" s="9"/>
      <c r="E434" s="9"/>
      <c r="F434" s="9"/>
      <c r="G434" s="10"/>
      <c r="H434" s="10"/>
      <c r="I434" s="10"/>
      <c r="J434" s="7" t="str">
        <f t="shared" si="123"/>
        <v/>
      </c>
      <c r="K434" s="7" t="str">
        <f t="shared" si="124"/>
        <v/>
      </c>
      <c r="L434" s="7" t="str">
        <f t="shared" si="125"/>
        <v/>
      </c>
      <c r="M434" s="7" t="str">
        <f t="shared" si="126"/>
        <v/>
      </c>
      <c r="N434" s="7" t="str">
        <f t="shared" si="127"/>
        <v/>
      </c>
      <c r="O434" s="10"/>
      <c r="P434" s="7" t="str">
        <f t="shared" si="128"/>
        <v/>
      </c>
      <c r="Q434" s="2" t="str">
        <f t="shared" si="129"/>
        <v/>
      </c>
      <c r="R434" s="9" t="s">
        <v>36</v>
      </c>
      <c r="S434" s="9"/>
    </row>
    <row r="435" spans="1:19" ht="16" x14ac:dyDescent="0.2">
      <c r="A435" s="1" t="s">
        <v>535</v>
      </c>
      <c r="B435" s="9"/>
      <c r="C435" s="9"/>
      <c r="D435" s="9"/>
      <c r="E435" s="9"/>
      <c r="F435" s="9"/>
      <c r="G435" s="10"/>
      <c r="H435" s="10"/>
      <c r="I435" s="10"/>
      <c r="J435" s="7" t="str">
        <f t="shared" si="123"/>
        <v/>
      </c>
      <c r="K435" s="7" t="str">
        <f t="shared" si="124"/>
        <v/>
      </c>
      <c r="L435" s="7" t="str">
        <f t="shared" si="125"/>
        <v/>
      </c>
      <c r="M435" s="7" t="str">
        <f t="shared" si="126"/>
        <v/>
      </c>
      <c r="N435" s="7" t="str">
        <f t="shared" si="127"/>
        <v/>
      </c>
      <c r="O435" s="10"/>
      <c r="P435" s="7" t="str">
        <f t="shared" si="128"/>
        <v/>
      </c>
      <c r="Q435" s="2" t="str">
        <f t="shared" si="129"/>
        <v/>
      </c>
      <c r="R435" s="9" t="s">
        <v>36</v>
      </c>
      <c r="S435" s="9"/>
    </row>
    <row r="436" spans="1:19" ht="16" x14ac:dyDescent="0.2">
      <c r="A436" s="1" t="s">
        <v>536</v>
      </c>
      <c r="B436" s="9"/>
      <c r="C436" s="9"/>
      <c r="D436" s="9"/>
      <c r="E436" s="9"/>
      <c r="F436" s="9"/>
      <c r="G436" s="10"/>
      <c r="H436" s="10"/>
      <c r="I436" s="10"/>
      <c r="J436" s="7" t="str">
        <f t="shared" si="123"/>
        <v/>
      </c>
      <c r="K436" s="7" t="str">
        <f t="shared" si="124"/>
        <v/>
      </c>
      <c r="L436" s="7" t="str">
        <f t="shared" si="125"/>
        <v/>
      </c>
      <c r="M436" s="7" t="str">
        <f t="shared" si="126"/>
        <v/>
      </c>
      <c r="N436" s="7" t="str">
        <f t="shared" si="127"/>
        <v/>
      </c>
      <c r="O436" s="10"/>
      <c r="P436" s="7" t="str">
        <f t="shared" si="128"/>
        <v/>
      </c>
      <c r="Q436" s="2" t="str">
        <f t="shared" si="129"/>
        <v/>
      </c>
      <c r="R436" s="9" t="s">
        <v>36</v>
      </c>
      <c r="S436" s="9"/>
    </row>
    <row r="437" spans="1:19" ht="16" x14ac:dyDescent="0.2">
      <c r="A437" s="1" t="s">
        <v>537</v>
      </c>
      <c r="B437" s="9"/>
      <c r="C437" s="9"/>
      <c r="D437" s="9"/>
      <c r="E437" s="9"/>
      <c r="F437" s="9"/>
      <c r="G437" s="10"/>
      <c r="H437" s="10"/>
      <c r="I437" s="10"/>
      <c r="J437" s="7" t="str">
        <f t="shared" si="123"/>
        <v/>
      </c>
      <c r="K437" s="7" t="str">
        <f t="shared" si="124"/>
        <v/>
      </c>
      <c r="L437" s="7" t="str">
        <f t="shared" si="125"/>
        <v/>
      </c>
      <c r="M437" s="7" t="str">
        <f t="shared" si="126"/>
        <v/>
      </c>
      <c r="N437" s="7" t="str">
        <f t="shared" si="127"/>
        <v/>
      </c>
      <c r="O437" s="10"/>
      <c r="P437" s="7" t="str">
        <f t="shared" si="128"/>
        <v/>
      </c>
      <c r="Q437" s="2" t="str">
        <f t="shared" si="129"/>
        <v/>
      </c>
      <c r="R437" s="9" t="s">
        <v>36</v>
      </c>
      <c r="S437" s="9"/>
    </row>
    <row r="438" spans="1:19" ht="16" x14ac:dyDescent="0.2">
      <c r="A438" s="1" t="s">
        <v>538</v>
      </c>
      <c r="B438" s="9"/>
      <c r="C438" s="9"/>
      <c r="D438" s="9"/>
      <c r="E438" s="9"/>
      <c r="F438" s="9"/>
      <c r="G438" s="10"/>
      <c r="H438" s="10"/>
      <c r="I438" s="10"/>
      <c r="J438" s="7" t="str">
        <f t="shared" si="123"/>
        <v/>
      </c>
      <c r="K438" s="7" t="str">
        <f t="shared" si="124"/>
        <v/>
      </c>
      <c r="L438" s="7" t="str">
        <f t="shared" si="125"/>
        <v/>
      </c>
      <c r="M438" s="7" t="str">
        <f t="shared" si="126"/>
        <v/>
      </c>
      <c r="N438" s="7" t="str">
        <f t="shared" si="127"/>
        <v/>
      </c>
      <c r="O438" s="10"/>
      <c r="P438" s="7" t="str">
        <f t="shared" si="128"/>
        <v/>
      </c>
      <c r="Q438" s="2" t="str">
        <f t="shared" si="129"/>
        <v/>
      </c>
      <c r="R438" s="9" t="s">
        <v>36</v>
      </c>
      <c r="S438" s="9"/>
    </row>
    <row r="439" spans="1:19" ht="16" x14ac:dyDescent="0.2">
      <c r="A439" s="1" t="s">
        <v>539</v>
      </c>
      <c r="B439" s="9"/>
      <c r="C439" s="9"/>
      <c r="D439" s="9"/>
      <c r="E439" s="9"/>
      <c r="F439" s="9"/>
      <c r="G439" s="10"/>
      <c r="H439" s="10"/>
      <c r="I439" s="10"/>
      <c r="J439" s="7" t="str">
        <f t="shared" si="123"/>
        <v/>
      </c>
      <c r="K439" s="7" t="str">
        <f t="shared" si="124"/>
        <v/>
      </c>
      <c r="L439" s="7" t="str">
        <f t="shared" si="125"/>
        <v/>
      </c>
      <c r="M439" s="7" t="str">
        <f t="shared" si="126"/>
        <v/>
      </c>
      <c r="N439" s="7" t="str">
        <f t="shared" si="127"/>
        <v/>
      </c>
      <c r="O439" s="10"/>
      <c r="P439" s="7" t="str">
        <f t="shared" si="128"/>
        <v/>
      </c>
      <c r="Q439" s="2" t="str">
        <f t="shared" si="129"/>
        <v/>
      </c>
      <c r="R439" s="9" t="s">
        <v>36</v>
      </c>
      <c r="S439" s="9"/>
    </row>
    <row r="440" spans="1:19" ht="16" x14ac:dyDescent="0.2">
      <c r="A440" s="1" t="s">
        <v>540</v>
      </c>
      <c r="B440" s="9"/>
      <c r="C440" s="9"/>
      <c r="D440" s="9"/>
      <c r="E440" s="9"/>
      <c r="F440" s="9"/>
      <c r="G440" s="10"/>
      <c r="H440" s="10"/>
      <c r="I440" s="10"/>
      <c r="J440" s="7" t="str">
        <f t="shared" si="123"/>
        <v/>
      </c>
      <c r="K440" s="7" t="str">
        <f t="shared" si="124"/>
        <v/>
      </c>
      <c r="L440" s="7" t="str">
        <f t="shared" si="125"/>
        <v/>
      </c>
      <c r="M440" s="7" t="str">
        <f t="shared" si="126"/>
        <v/>
      </c>
      <c r="N440" s="7" t="str">
        <f t="shared" si="127"/>
        <v/>
      </c>
      <c r="O440" s="10"/>
      <c r="P440" s="7" t="str">
        <f t="shared" si="128"/>
        <v/>
      </c>
      <c r="Q440" s="2" t="str">
        <f t="shared" si="129"/>
        <v/>
      </c>
      <c r="R440" s="9" t="s">
        <v>36</v>
      </c>
      <c r="S440" s="9"/>
    </row>
    <row r="441" spans="1:19" ht="16" x14ac:dyDescent="0.2">
      <c r="A441" s="1" t="s">
        <v>541</v>
      </c>
      <c r="B441" s="9"/>
      <c r="C441" s="9"/>
      <c r="D441" s="9"/>
      <c r="E441" s="9"/>
      <c r="F441" s="9"/>
      <c r="G441" s="10"/>
      <c r="H441" s="10"/>
      <c r="I441" s="10"/>
      <c r="J441" s="7" t="str">
        <f t="shared" si="123"/>
        <v/>
      </c>
      <c r="K441" s="7" t="str">
        <f t="shared" si="124"/>
        <v/>
      </c>
      <c r="L441" s="7" t="str">
        <f t="shared" si="125"/>
        <v/>
      </c>
      <c r="M441" s="7" t="str">
        <f t="shared" si="126"/>
        <v/>
      </c>
      <c r="N441" s="7" t="str">
        <f t="shared" si="127"/>
        <v/>
      </c>
      <c r="O441" s="10"/>
      <c r="P441" s="7" t="str">
        <f t="shared" si="128"/>
        <v/>
      </c>
      <c r="Q441" s="2" t="str">
        <f t="shared" si="129"/>
        <v/>
      </c>
      <c r="R441" s="9" t="s">
        <v>36</v>
      </c>
      <c r="S441" s="9"/>
    </row>
    <row r="442" spans="1:19" ht="16" x14ac:dyDescent="0.2">
      <c r="A442" s="1" t="s">
        <v>542</v>
      </c>
      <c r="B442" s="9"/>
      <c r="C442" s="9"/>
      <c r="D442" s="9"/>
      <c r="E442" s="9"/>
      <c r="F442" s="9"/>
      <c r="G442" s="10"/>
      <c r="H442" s="10"/>
      <c r="I442" s="10"/>
      <c r="J442" s="7" t="str">
        <f t="shared" si="123"/>
        <v/>
      </c>
      <c r="K442" s="7" t="str">
        <f t="shared" si="124"/>
        <v/>
      </c>
      <c r="L442" s="7" t="str">
        <f t="shared" si="125"/>
        <v/>
      </c>
      <c r="M442" s="7" t="str">
        <f t="shared" si="126"/>
        <v/>
      </c>
      <c r="N442" s="7" t="str">
        <f t="shared" si="127"/>
        <v/>
      </c>
      <c r="O442" s="10"/>
      <c r="P442" s="7" t="str">
        <f t="shared" si="128"/>
        <v/>
      </c>
      <c r="Q442" s="2" t="str">
        <f t="shared" si="129"/>
        <v/>
      </c>
      <c r="R442" s="9" t="s">
        <v>36</v>
      </c>
      <c r="S442" s="9"/>
    </row>
    <row r="443" spans="1:19" ht="16" x14ac:dyDescent="0.2">
      <c r="A443" s="1" t="s">
        <v>543</v>
      </c>
      <c r="B443" s="9"/>
      <c r="C443" s="9"/>
      <c r="D443" s="9"/>
      <c r="E443" s="9"/>
      <c r="F443" s="9"/>
      <c r="G443" s="10"/>
      <c r="H443" s="10"/>
      <c r="I443" s="10"/>
      <c r="J443" s="7" t="str">
        <f t="shared" si="123"/>
        <v/>
      </c>
      <c r="K443" s="7" t="str">
        <f t="shared" si="124"/>
        <v/>
      </c>
      <c r="L443" s="7" t="str">
        <f t="shared" si="125"/>
        <v/>
      </c>
      <c r="M443" s="7" t="str">
        <f t="shared" si="126"/>
        <v/>
      </c>
      <c r="N443" s="7" t="str">
        <f t="shared" si="127"/>
        <v/>
      </c>
      <c r="O443" s="10"/>
      <c r="P443" s="7" t="str">
        <f t="shared" si="128"/>
        <v/>
      </c>
      <c r="Q443" s="2" t="str">
        <f t="shared" si="129"/>
        <v/>
      </c>
      <c r="R443" s="9" t="s">
        <v>36</v>
      </c>
      <c r="S443" s="9"/>
    </row>
    <row r="444" spans="1:19" ht="16" x14ac:dyDescent="0.2">
      <c r="A444" s="1" t="s">
        <v>544</v>
      </c>
      <c r="B444" s="9"/>
      <c r="C444" s="9"/>
      <c r="D444" s="9"/>
      <c r="E444" s="9"/>
      <c r="F444" s="9"/>
      <c r="G444" s="10"/>
      <c r="H444" s="10"/>
      <c r="I444" s="10"/>
      <c r="J444" s="7" t="str">
        <f t="shared" si="123"/>
        <v/>
      </c>
      <c r="K444" s="7" t="str">
        <f t="shared" si="124"/>
        <v/>
      </c>
      <c r="L444" s="7" t="str">
        <f t="shared" si="125"/>
        <v/>
      </c>
      <c r="M444" s="7" t="str">
        <f t="shared" si="126"/>
        <v/>
      </c>
      <c r="N444" s="7" t="str">
        <f t="shared" si="127"/>
        <v/>
      </c>
      <c r="O444" s="10"/>
      <c r="P444" s="7" t="str">
        <f t="shared" si="128"/>
        <v/>
      </c>
      <c r="Q444" s="2" t="str">
        <f t="shared" si="129"/>
        <v/>
      </c>
      <c r="R444" s="9" t="s">
        <v>36</v>
      </c>
      <c r="S444" s="9"/>
    </row>
    <row r="445" spans="1:19" ht="16" x14ac:dyDescent="0.2">
      <c r="A445" s="1" t="s">
        <v>545</v>
      </c>
      <c r="B445" s="9"/>
      <c r="C445" s="9"/>
      <c r="D445" s="9"/>
      <c r="E445" s="9"/>
      <c r="F445" s="9"/>
      <c r="G445" s="10"/>
      <c r="H445" s="10"/>
      <c r="I445" s="10"/>
      <c r="J445" s="7" t="str">
        <f t="shared" si="123"/>
        <v/>
      </c>
      <c r="K445" s="7" t="str">
        <f t="shared" si="124"/>
        <v/>
      </c>
      <c r="L445" s="7" t="str">
        <f t="shared" si="125"/>
        <v/>
      </c>
      <c r="M445" s="7" t="str">
        <f t="shared" si="126"/>
        <v/>
      </c>
      <c r="N445" s="7" t="str">
        <f t="shared" si="127"/>
        <v/>
      </c>
      <c r="O445" s="10"/>
      <c r="P445" s="7" t="str">
        <f t="shared" si="128"/>
        <v/>
      </c>
      <c r="Q445" s="2" t="str">
        <f t="shared" si="129"/>
        <v/>
      </c>
      <c r="R445" s="9" t="s">
        <v>36</v>
      </c>
      <c r="S445" s="9"/>
    </row>
    <row r="446" spans="1:19" ht="16" x14ac:dyDescent="0.2">
      <c r="A446" s="1" t="s">
        <v>546</v>
      </c>
      <c r="B446" s="9"/>
      <c r="C446" s="9"/>
      <c r="D446" s="9"/>
      <c r="E446" s="9"/>
      <c r="F446" s="9"/>
      <c r="G446" s="10"/>
      <c r="H446" s="10"/>
      <c r="I446" s="10"/>
      <c r="J446" s="7" t="str">
        <f t="shared" si="123"/>
        <v/>
      </c>
      <c r="K446" s="7" t="str">
        <f t="shared" si="124"/>
        <v/>
      </c>
      <c r="L446" s="7" t="str">
        <f t="shared" si="125"/>
        <v/>
      </c>
      <c r="M446" s="7" t="str">
        <f t="shared" si="126"/>
        <v/>
      </c>
      <c r="N446" s="7" t="str">
        <f t="shared" si="127"/>
        <v/>
      </c>
      <c r="O446" s="10"/>
      <c r="P446" s="7" t="str">
        <f t="shared" si="128"/>
        <v/>
      </c>
      <c r="Q446" s="2" t="str">
        <f t="shared" si="129"/>
        <v/>
      </c>
      <c r="R446" s="9" t="s">
        <v>36</v>
      </c>
      <c r="S446" s="9"/>
    </row>
    <row r="447" spans="1:19" ht="16" x14ac:dyDescent="0.2">
      <c r="A447" s="1" t="s">
        <v>547</v>
      </c>
      <c r="B447" s="9"/>
      <c r="C447" s="9"/>
      <c r="D447" s="9"/>
      <c r="E447" s="9"/>
      <c r="F447" s="9"/>
      <c r="G447" s="10"/>
      <c r="H447" s="10"/>
      <c r="I447" s="10"/>
      <c r="J447" s="7" t="str">
        <f t="shared" si="123"/>
        <v/>
      </c>
      <c r="K447" s="7" t="str">
        <f t="shared" si="124"/>
        <v/>
      </c>
      <c r="L447" s="7" t="str">
        <f t="shared" si="125"/>
        <v/>
      </c>
      <c r="M447" s="7" t="str">
        <f t="shared" si="126"/>
        <v/>
      </c>
      <c r="N447" s="7" t="str">
        <f t="shared" si="127"/>
        <v/>
      </c>
      <c r="O447" s="10"/>
      <c r="P447" s="7" t="str">
        <f t="shared" si="128"/>
        <v/>
      </c>
      <c r="Q447" s="2" t="str">
        <f t="shared" si="129"/>
        <v/>
      </c>
      <c r="R447" s="9" t="s">
        <v>36</v>
      </c>
      <c r="S447" s="9"/>
    </row>
    <row r="448" spans="1:19" ht="16" x14ac:dyDescent="0.2">
      <c r="A448" s="1" t="s">
        <v>548</v>
      </c>
      <c r="B448" s="9"/>
      <c r="C448" s="9"/>
      <c r="D448" s="9"/>
      <c r="E448" s="9"/>
      <c r="F448" s="9"/>
      <c r="G448" s="10"/>
      <c r="H448" s="10"/>
      <c r="I448" s="10"/>
      <c r="J448" s="7" t="str">
        <f t="shared" si="123"/>
        <v/>
      </c>
      <c r="K448" s="7" t="str">
        <f t="shared" si="124"/>
        <v/>
      </c>
      <c r="L448" s="7" t="str">
        <f t="shared" si="125"/>
        <v/>
      </c>
      <c r="M448" s="7" t="str">
        <f t="shared" si="126"/>
        <v/>
      </c>
      <c r="N448" s="7" t="str">
        <f t="shared" si="127"/>
        <v/>
      </c>
      <c r="O448" s="10"/>
      <c r="P448" s="7" t="str">
        <f t="shared" si="128"/>
        <v/>
      </c>
      <c r="Q448" s="2" t="str">
        <f t="shared" si="129"/>
        <v/>
      </c>
      <c r="R448" s="9" t="s">
        <v>36</v>
      </c>
      <c r="S448" s="9"/>
    </row>
    <row r="449" spans="1:19" ht="16" x14ac:dyDescent="0.2">
      <c r="A449" s="1" t="s">
        <v>549</v>
      </c>
      <c r="B449" s="9"/>
      <c r="C449" s="9"/>
      <c r="D449" s="9"/>
      <c r="E449" s="9"/>
      <c r="F449" s="9"/>
      <c r="G449" s="10"/>
      <c r="H449" s="10"/>
      <c r="I449" s="10"/>
      <c r="J449" s="7" t="str">
        <f t="shared" si="123"/>
        <v/>
      </c>
      <c r="K449" s="7" t="str">
        <f t="shared" si="124"/>
        <v/>
      </c>
      <c r="L449" s="7" t="str">
        <f t="shared" si="125"/>
        <v/>
      </c>
      <c r="M449" s="7" t="str">
        <f t="shared" si="126"/>
        <v/>
      </c>
      <c r="N449" s="7" t="str">
        <f t="shared" si="127"/>
        <v/>
      </c>
      <c r="O449" s="10"/>
      <c r="P449" s="7" t="str">
        <f t="shared" si="128"/>
        <v/>
      </c>
      <c r="Q449" s="2" t="str">
        <f t="shared" si="129"/>
        <v/>
      </c>
      <c r="R449" s="9" t="s">
        <v>36</v>
      </c>
      <c r="S449" s="9"/>
    </row>
    <row r="450" spans="1:19" ht="16" x14ac:dyDescent="0.2">
      <c r="A450" s="1" t="s">
        <v>550</v>
      </c>
      <c r="B450" s="9"/>
      <c r="C450" s="9"/>
      <c r="D450" s="9"/>
      <c r="E450" s="9"/>
      <c r="F450" s="9"/>
      <c r="G450" s="10"/>
      <c r="H450" s="10"/>
      <c r="I450" s="10"/>
      <c r="J450" s="7" t="str">
        <f t="shared" ref="J450:J500" si="130">IF(COUNT(G450:I450)=0,"",ROUND(AVERAGE(G450:I450),0))</f>
        <v/>
      </c>
      <c r="K450" s="7" t="str">
        <f t="shared" ref="K450:K500" si="131">IF(J450="","",ROUND(J450/10,0)*10)</f>
        <v/>
      </c>
      <c r="L450" s="7" t="str">
        <f t="shared" ref="L450:L500" si="132">IF(K450="","",ROUND(K450*0.95/10,0)*10)</f>
        <v/>
      </c>
      <c r="M450" s="7" t="str">
        <f t="shared" ref="M450:M500" si="133">IF(K450="","",ROUND(K450*0.92/10,0)*10)</f>
        <v/>
      </c>
      <c r="N450" s="7" t="str">
        <f t="shared" ref="N450:N500" si="134">IF(K450="","",ROUND(K450*0.88/10,0)*10)</f>
        <v/>
      </c>
      <c r="O450" s="10"/>
      <c r="P450" s="7" t="str">
        <f t="shared" ref="P450:P500" si="135">IF(OR(K450="",O450=""),"",K450-O450)</f>
        <v/>
      </c>
      <c r="Q450" s="2" t="str">
        <f t="shared" ref="Q450:Q500" si="136">IF(OR(K450="",O450="",K450=0),"",P450/K450)</f>
        <v/>
      </c>
      <c r="R450" s="9" t="s">
        <v>36</v>
      </c>
      <c r="S450" s="9"/>
    </row>
    <row r="451" spans="1:19" ht="16" x14ac:dyDescent="0.2">
      <c r="A451" s="1" t="s">
        <v>551</v>
      </c>
      <c r="B451" s="9"/>
      <c r="C451" s="9"/>
      <c r="D451" s="9"/>
      <c r="E451" s="9"/>
      <c r="F451" s="9"/>
      <c r="G451" s="10"/>
      <c r="H451" s="10"/>
      <c r="I451" s="10"/>
      <c r="J451" s="7" t="str">
        <f t="shared" si="130"/>
        <v/>
      </c>
      <c r="K451" s="7" t="str">
        <f t="shared" si="131"/>
        <v/>
      </c>
      <c r="L451" s="7" t="str">
        <f t="shared" si="132"/>
        <v/>
      </c>
      <c r="M451" s="7" t="str">
        <f t="shared" si="133"/>
        <v/>
      </c>
      <c r="N451" s="7" t="str">
        <f t="shared" si="134"/>
        <v/>
      </c>
      <c r="O451" s="10"/>
      <c r="P451" s="7" t="str">
        <f t="shared" si="135"/>
        <v/>
      </c>
      <c r="Q451" s="2" t="str">
        <f t="shared" si="136"/>
        <v/>
      </c>
      <c r="R451" s="9" t="s">
        <v>36</v>
      </c>
      <c r="S451" s="9"/>
    </row>
    <row r="452" spans="1:19" ht="16" x14ac:dyDescent="0.2">
      <c r="A452" s="1" t="s">
        <v>552</v>
      </c>
      <c r="B452" s="9"/>
      <c r="C452" s="9"/>
      <c r="D452" s="9"/>
      <c r="E452" s="9"/>
      <c r="F452" s="9"/>
      <c r="G452" s="10"/>
      <c r="H452" s="10"/>
      <c r="I452" s="10"/>
      <c r="J452" s="7" t="str">
        <f t="shared" si="130"/>
        <v/>
      </c>
      <c r="K452" s="7" t="str">
        <f t="shared" si="131"/>
        <v/>
      </c>
      <c r="L452" s="7" t="str">
        <f t="shared" si="132"/>
        <v/>
      </c>
      <c r="M452" s="7" t="str">
        <f t="shared" si="133"/>
        <v/>
      </c>
      <c r="N452" s="7" t="str">
        <f t="shared" si="134"/>
        <v/>
      </c>
      <c r="O452" s="10"/>
      <c r="P452" s="7" t="str">
        <f t="shared" si="135"/>
        <v/>
      </c>
      <c r="Q452" s="2" t="str">
        <f t="shared" si="136"/>
        <v/>
      </c>
      <c r="R452" s="9" t="s">
        <v>36</v>
      </c>
      <c r="S452" s="9"/>
    </row>
    <row r="453" spans="1:19" ht="16" x14ac:dyDescent="0.2">
      <c r="A453" s="1" t="s">
        <v>553</v>
      </c>
      <c r="B453" s="9"/>
      <c r="C453" s="9"/>
      <c r="D453" s="9"/>
      <c r="E453" s="9"/>
      <c r="F453" s="9"/>
      <c r="G453" s="10"/>
      <c r="H453" s="10"/>
      <c r="I453" s="10"/>
      <c r="J453" s="7" t="str">
        <f t="shared" si="130"/>
        <v/>
      </c>
      <c r="K453" s="7" t="str">
        <f t="shared" si="131"/>
        <v/>
      </c>
      <c r="L453" s="7" t="str">
        <f t="shared" si="132"/>
        <v/>
      </c>
      <c r="M453" s="7" t="str">
        <f t="shared" si="133"/>
        <v/>
      </c>
      <c r="N453" s="7" t="str">
        <f t="shared" si="134"/>
        <v/>
      </c>
      <c r="O453" s="10"/>
      <c r="P453" s="7" t="str">
        <f t="shared" si="135"/>
        <v/>
      </c>
      <c r="Q453" s="2" t="str">
        <f t="shared" si="136"/>
        <v/>
      </c>
      <c r="R453" s="9" t="s">
        <v>36</v>
      </c>
      <c r="S453" s="9"/>
    </row>
    <row r="454" spans="1:19" ht="16" x14ac:dyDescent="0.2">
      <c r="A454" s="1" t="s">
        <v>554</v>
      </c>
      <c r="B454" s="9"/>
      <c r="C454" s="9"/>
      <c r="D454" s="9"/>
      <c r="E454" s="9"/>
      <c r="F454" s="9"/>
      <c r="G454" s="10"/>
      <c r="H454" s="10"/>
      <c r="I454" s="10"/>
      <c r="J454" s="7" t="str">
        <f t="shared" si="130"/>
        <v/>
      </c>
      <c r="K454" s="7" t="str">
        <f t="shared" si="131"/>
        <v/>
      </c>
      <c r="L454" s="7" t="str">
        <f t="shared" si="132"/>
        <v/>
      </c>
      <c r="M454" s="7" t="str">
        <f t="shared" si="133"/>
        <v/>
      </c>
      <c r="N454" s="7" t="str">
        <f t="shared" si="134"/>
        <v/>
      </c>
      <c r="O454" s="10"/>
      <c r="P454" s="7" t="str">
        <f t="shared" si="135"/>
        <v/>
      </c>
      <c r="Q454" s="2" t="str">
        <f t="shared" si="136"/>
        <v/>
      </c>
      <c r="R454" s="9" t="s">
        <v>36</v>
      </c>
      <c r="S454" s="9"/>
    </row>
    <row r="455" spans="1:19" ht="16" x14ac:dyDescent="0.2">
      <c r="A455" s="1" t="s">
        <v>555</v>
      </c>
      <c r="B455" s="9"/>
      <c r="C455" s="9"/>
      <c r="D455" s="9"/>
      <c r="E455" s="9"/>
      <c r="F455" s="9"/>
      <c r="G455" s="10"/>
      <c r="H455" s="10"/>
      <c r="I455" s="10"/>
      <c r="J455" s="7" t="str">
        <f t="shared" si="130"/>
        <v/>
      </c>
      <c r="K455" s="7" t="str">
        <f t="shared" si="131"/>
        <v/>
      </c>
      <c r="L455" s="7" t="str">
        <f t="shared" si="132"/>
        <v/>
      </c>
      <c r="M455" s="7" t="str">
        <f t="shared" si="133"/>
        <v/>
      </c>
      <c r="N455" s="7" t="str">
        <f t="shared" si="134"/>
        <v/>
      </c>
      <c r="O455" s="10"/>
      <c r="P455" s="7" t="str">
        <f t="shared" si="135"/>
        <v/>
      </c>
      <c r="Q455" s="2" t="str">
        <f t="shared" si="136"/>
        <v/>
      </c>
      <c r="R455" s="9" t="s">
        <v>36</v>
      </c>
      <c r="S455" s="9"/>
    </row>
    <row r="456" spans="1:19" ht="16" x14ac:dyDescent="0.2">
      <c r="A456" s="1" t="s">
        <v>556</v>
      </c>
      <c r="B456" s="9"/>
      <c r="C456" s="9"/>
      <c r="D456" s="9"/>
      <c r="E456" s="9"/>
      <c r="F456" s="9"/>
      <c r="G456" s="10"/>
      <c r="H456" s="10"/>
      <c r="I456" s="10"/>
      <c r="J456" s="7" t="str">
        <f t="shared" si="130"/>
        <v/>
      </c>
      <c r="K456" s="7" t="str">
        <f t="shared" si="131"/>
        <v/>
      </c>
      <c r="L456" s="7" t="str">
        <f t="shared" si="132"/>
        <v/>
      </c>
      <c r="M456" s="7" t="str">
        <f t="shared" si="133"/>
        <v/>
      </c>
      <c r="N456" s="7" t="str">
        <f t="shared" si="134"/>
        <v/>
      </c>
      <c r="O456" s="10"/>
      <c r="P456" s="7" t="str">
        <f t="shared" si="135"/>
        <v/>
      </c>
      <c r="Q456" s="2" t="str">
        <f t="shared" si="136"/>
        <v/>
      </c>
      <c r="R456" s="9" t="s">
        <v>36</v>
      </c>
      <c r="S456" s="9"/>
    </row>
    <row r="457" spans="1:19" ht="16" x14ac:dyDescent="0.2">
      <c r="A457" s="1" t="s">
        <v>557</v>
      </c>
      <c r="B457" s="9"/>
      <c r="C457" s="9"/>
      <c r="D457" s="9"/>
      <c r="E457" s="9"/>
      <c r="F457" s="9"/>
      <c r="G457" s="10"/>
      <c r="H457" s="10"/>
      <c r="I457" s="10"/>
      <c r="J457" s="7" t="str">
        <f t="shared" si="130"/>
        <v/>
      </c>
      <c r="K457" s="7" t="str">
        <f t="shared" si="131"/>
        <v/>
      </c>
      <c r="L457" s="7" t="str">
        <f t="shared" si="132"/>
        <v/>
      </c>
      <c r="M457" s="7" t="str">
        <f t="shared" si="133"/>
        <v/>
      </c>
      <c r="N457" s="7" t="str">
        <f t="shared" si="134"/>
        <v/>
      </c>
      <c r="O457" s="10"/>
      <c r="P457" s="7" t="str">
        <f t="shared" si="135"/>
        <v/>
      </c>
      <c r="Q457" s="2" t="str">
        <f t="shared" si="136"/>
        <v/>
      </c>
      <c r="R457" s="9" t="s">
        <v>36</v>
      </c>
      <c r="S457" s="9"/>
    </row>
    <row r="458" spans="1:19" ht="16" x14ac:dyDescent="0.2">
      <c r="A458" s="1" t="s">
        <v>558</v>
      </c>
      <c r="B458" s="9"/>
      <c r="C458" s="9"/>
      <c r="D458" s="9"/>
      <c r="E458" s="9"/>
      <c r="F458" s="9"/>
      <c r="G458" s="10"/>
      <c r="H458" s="10"/>
      <c r="I458" s="10"/>
      <c r="J458" s="7" t="str">
        <f t="shared" si="130"/>
        <v/>
      </c>
      <c r="K458" s="7" t="str">
        <f t="shared" si="131"/>
        <v/>
      </c>
      <c r="L458" s="7" t="str">
        <f t="shared" si="132"/>
        <v/>
      </c>
      <c r="M458" s="7" t="str">
        <f t="shared" si="133"/>
        <v/>
      </c>
      <c r="N458" s="7" t="str">
        <f t="shared" si="134"/>
        <v/>
      </c>
      <c r="O458" s="10"/>
      <c r="P458" s="7" t="str">
        <f t="shared" si="135"/>
        <v/>
      </c>
      <c r="Q458" s="2" t="str">
        <f t="shared" si="136"/>
        <v/>
      </c>
      <c r="R458" s="9" t="s">
        <v>36</v>
      </c>
      <c r="S458" s="9"/>
    </row>
    <row r="459" spans="1:19" ht="16" x14ac:dyDescent="0.2">
      <c r="A459" s="1" t="s">
        <v>559</v>
      </c>
      <c r="B459" s="9"/>
      <c r="C459" s="9"/>
      <c r="D459" s="9"/>
      <c r="E459" s="9"/>
      <c r="F459" s="9"/>
      <c r="G459" s="10"/>
      <c r="H459" s="10"/>
      <c r="I459" s="10"/>
      <c r="J459" s="7" t="str">
        <f t="shared" si="130"/>
        <v/>
      </c>
      <c r="K459" s="7" t="str">
        <f t="shared" si="131"/>
        <v/>
      </c>
      <c r="L459" s="7" t="str">
        <f t="shared" si="132"/>
        <v/>
      </c>
      <c r="M459" s="7" t="str">
        <f t="shared" si="133"/>
        <v/>
      </c>
      <c r="N459" s="7" t="str">
        <f t="shared" si="134"/>
        <v/>
      </c>
      <c r="O459" s="10"/>
      <c r="P459" s="7" t="str">
        <f t="shared" si="135"/>
        <v/>
      </c>
      <c r="Q459" s="2" t="str">
        <f t="shared" si="136"/>
        <v/>
      </c>
      <c r="R459" s="9" t="s">
        <v>36</v>
      </c>
      <c r="S459" s="9"/>
    </row>
    <row r="460" spans="1:19" ht="16" x14ac:dyDescent="0.2">
      <c r="A460" s="1" t="s">
        <v>560</v>
      </c>
      <c r="B460" s="9"/>
      <c r="C460" s="9"/>
      <c r="D460" s="9"/>
      <c r="E460" s="9"/>
      <c r="F460" s="9"/>
      <c r="G460" s="10"/>
      <c r="H460" s="10"/>
      <c r="I460" s="10"/>
      <c r="J460" s="7" t="str">
        <f t="shared" si="130"/>
        <v/>
      </c>
      <c r="K460" s="7" t="str">
        <f t="shared" si="131"/>
        <v/>
      </c>
      <c r="L460" s="7" t="str">
        <f t="shared" si="132"/>
        <v/>
      </c>
      <c r="M460" s="7" t="str">
        <f t="shared" si="133"/>
        <v/>
      </c>
      <c r="N460" s="7" t="str">
        <f t="shared" si="134"/>
        <v/>
      </c>
      <c r="O460" s="10"/>
      <c r="P460" s="7" t="str">
        <f t="shared" si="135"/>
        <v/>
      </c>
      <c r="Q460" s="2" t="str">
        <f t="shared" si="136"/>
        <v/>
      </c>
      <c r="R460" s="9" t="s">
        <v>36</v>
      </c>
      <c r="S460" s="9"/>
    </row>
    <row r="461" spans="1:19" ht="16" x14ac:dyDescent="0.2">
      <c r="A461" s="1" t="s">
        <v>561</v>
      </c>
      <c r="B461" s="9"/>
      <c r="C461" s="9"/>
      <c r="D461" s="9"/>
      <c r="E461" s="9"/>
      <c r="F461" s="9"/>
      <c r="G461" s="10"/>
      <c r="H461" s="10"/>
      <c r="I461" s="10"/>
      <c r="J461" s="7" t="str">
        <f t="shared" si="130"/>
        <v/>
      </c>
      <c r="K461" s="7" t="str">
        <f t="shared" si="131"/>
        <v/>
      </c>
      <c r="L461" s="7" t="str">
        <f t="shared" si="132"/>
        <v/>
      </c>
      <c r="M461" s="7" t="str">
        <f t="shared" si="133"/>
        <v/>
      </c>
      <c r="N461" s="7" t="str">
        <f t="shared" si="134"/>
        <v/>
      </c>
      <c r="O461" s="10"/>
      <c r="P461" s="7" t="str">
        <f t="shared" si="135"/>
        <v/>
      </c>
      <c r="Q461" s="2" t="str">
        <f t="shared" si="136"/>
        <v/>
      </c>
      <c r="R461" s="9" t="s">
        <v>36</v>
      </c>
      <c r="S461" s="9"/>
    </row>
    <row r="462" spans="1:19" ht="16" x14ac:dyDescent="0.2">
      <c r="A462" s="1" t="s">
        <v>562</v>
      </c>
      <c r="B462" s="9"/>
      <c r="C462" s="9"/>
      <c r="D462" s="9"/>
      <c r="E462" s="9"/>
      <c r="F462" s="9"/>
      <c r="G462" s="10"/>
      <c r="H462" s="10"/>
      <c r="I462" s="10"/>
      <c r="J462" s="7" t="str">
        <f t="shared" si="130"/>
        <v/>
      </c>
      <c r="K462" s="7" t="str">
        <f t="shared" si="131"/>
        <v/>
      </c>
      <c r="L462" s="7" t="str">
        <f t="shared" si="132"/>
        <v/>
      </c>
      <c r="M462" s="7" t="str">
        <f t="shared" si="133"/>
        <v/>
      </c>
      <c r="N462" s="7" t="str">
        <f t="shared" si="134"/>
        <v/>
      </c>
      <c r="O462" s="10"/>
      <c r="P462" s="7" t="str">
        <f t="shared" si="135"/>
        <v/>
      </c>
      <c r="Q462" s="2" t="str">
        <f t="shared" si="136"/>
        <v/>
      </c>
      <c r="R462" s="9" t="s">
        <v>36</v>
      </c>
      <c r="S462" s="9"/>
    </row>
    <row r="463" spans="1:19" ht="16" x14ac:dyDescent="0.2">
      <c r="A463" s="1" t="s">
        <v>563</v>
      </c>
      <c r="B463" s="9"/>
      <c r="C463" s="9"/>
      <c r="D463" s="9"/>
      <c r="E463" s="9"/>
      <c r="F463" s="9"/>
      <c r="G463" s="10"/>
      <c r="H463" s="10"/>
      <c r="I463" s="10"/>
      <c r="J463" s="7" t="str">
        <f t="shared" si="130"/>
        <v/>
      </c>
      <c r="K463" s="7" t="str">
        <f t="shared" si="131"/>
        <v/>
      </c>
      <c r="L463" s="7" t="str">
        <f t="shared" si="132"/>
        <v/>
      </c>
      <c r="M463" s="7" t="str">
        <f t="shared" si="133"/>
        <v/>
      </c>
      <c r="N463" s="7" t="str">
        <f t="shared" si="134"/>
        <v/>
      </c>
      <c r="O463" s="10"/>
      <c r="P463" s="7" t="str">
        <f t="shared" si="135"/>
        <v/>
      </c>
      <c r="Q463" s="2" t="str">
        <f t="shared" si="136"/>
        <v/>
      </c>
      <c r="R463" s="9" t="s">
        <v>36</v>
      </c>
      <c r="S463" s="9"/>
    </row>
    <row r="464" spans="1:19" ht="16" x14ac:dyDescent="0.2">
      <c r="A464" s="1" t="s">
        <v>564</v>
      </c>
      <c r="B464" s="9"/>
      <c r="C464" s="9"/>
      <c r="D464" s="9"/>
      <c r="E464" s="9"/>
      <c r="F464" s="9"/>
      <c r="G464" s="10"/>
      <c r="H464" s="10"/>
      <c r="I464" s="10"/>
      <c r="J464" s="7" t="str">
        <f t="shared" si="130"/>
        <v/>
      </c>
      <c r="K464" s="7" t="str">
        <f t="shared" si="131"/>
        <v/>
      </c>
      <c r="L464" s="7" t="str">
        <f t="shared" si="132"/>
        <v/>
      </c>
      <c r="M464" s="7" t="str">
        <f t="shared" si="133"/>
        <v/>
      </c>
      <c r="N464" s="7" t="str">
        <f t="shared" si="134"/>
        <v/>
      </c>
      <c r="O464" s="10"/>
      <c r="P464" s="7" t="str">
        <f t="shared" si="135"/>
        <v/>
      </c>
      <c r="Q464" s="2" t="str">
        <f t="shared" si="136"/>
        <v/>
      </c>
      <c r="R464" s="9" t="s">
        <v>36</v>
      </c>
      <c r="S464" s="9"/>
    </row>
    <row r="465" spans="1:19" ht="16" x14ac:dyDescent="0.2">
      <c r="A465" s="1" t="s">
        <v>565</v>
      </c>
      <c r="B465" s="9"/>
      <c r="C465" s="9"/>
      <c r="D465" s="9"/>
      <c r="E465" s="9"/>
      <c r="F465" s="9"/>
      <c r="G465" s="10"/>
      <c r="H465" s="10"/>
      <c r="I465" s="10"/>
      <c r="J465" s="7" t="str">
        <f t="shared" si="130"/>
        <v/>
      </c>
      <c r="K465" s="7" t="str">
        <f t="shared" si="131"/>
        <v/>
      </c>
      <c r="L465" s="7" t="str">
        <f t="shared" si="132"/>
        <v/>
      </c>
      <c r="M465" s="7" t="str">
        <f t="shared" si="133"/>
        <v/>
      </c>
      <c r="N465" s="7" t="str">
        <f t="shared" si="134"/>
        <v/>
      </c>
      <c r="O465" s="10"/>
      <c r="P465" s="7" t="str">
        <f t="shared" si="135"/>
        <v/>
      </c>
      <c r="Q465" s="2" t="str">
        <f t="shared" si="136"/>
        <v/>
      </c>
      <c r="R465" s="9" t="s">
        <v>36</v>
      </c>
      <c r="S465" s="9"/>
    </row>
    <row r="466" spans="1:19" ht="16" x14ac:dyDescent="0.2">
      <c r="A466" s="1" t="s">
        <v>566</v>
      </c>
      <c r="B466" s="9"/>
      <c r="C466" s="9"/>
      <c r="D466" s="9"/>
      <c r="E466" s="9"/>
      <c r="F466" s="9"/>
      <c r="G466" s="10"/>
      <c r="H466" s="10"/>
      <c r="I466" s="10"/>
      <c r="J466" s="7" t="str">
        <f t="shared" si="130"/>
        <v/>
      </c>
      <c r="K466" s="7" t="str">
        <f t="shared" si="131"/>
        <v/>
      </c>
      <c r="L466" s="7" t="str">
        <f t="shared" si="132"/>
        <v/>
      </c>
      <c r="M466" s="7" t="str">
        <f t="shared" si="133"/>
        <v/>
      </c>
      <c r="N466" s="7" t="str">
        <f t="shared" si="134"/>
        <v/>
      </c>
      <c r="O466" s="10"/>
      <c r="P466" s="7" t="str">
        <f t="shared" si="135"/>
        <v/>
      </c>
      <c r="Q466" s="2" t="str">
        <f t="shared" si="136"/>
        <v/>
      </c>
      <c r="R466" s="9" t="s">
        <v>36</v>
      </c>
      <c r="S466" s="9"/>
    </row>
    <row r="467" spans="1:19" ht="16" x14ac:dyDescent="0.2">
      <c r="A467" s="1" t="s">
        <v>567</v>
      </c>
      <c r="B467" s="9"/>
      <c r="C467" s="9"/>
      <c r="D467" s="9"/>
      <c r="E467" s="9"/>
      <c r="F467" s="9"/>
      <c r="G467" s="10"/>
      <c r="H467" s="10"/>
      <c r="I467" s="10"/>
      <c r="J467" s="7" t="str">
        <f t="shared" si="130"/>
        <v/>
      </c>
      <c r="K467" s="7" t="str">
        <f t="shared" si="131"/>
        <v/>
      </c>
      <c r="L467" s="7" t="str">
        <f t="shared" si="132"/>
        <v/>
      </c>
      <c r="M467" s="7" t="str">
        <f t="shared" si="133"/>
        <v/>
      </c>
      <c r="N467" s="7" t="str">
        <f t="shared" si="134"/>
        <v/>
      </c>
      <c r="O467" s="10"/>
      <c r="P467" s="7" t="str">
        <f t="shared" si="135"/>
        <v/>
      </c>
      <c r="Q467" s="2" t="str">
        <f t="shared" si="136"/>
        <v/>
      </c>
      <c r="R467" s="9" t="s">
        <v>36</v>
      </c>
      <c r="S467" s="9"/>
    </row>
    <row r="468" spans="1:19" ht="16" x14ac:dyDescent="0.2">
      <c r="A468" s="1" t="s">
        <v>568</v>
      </c>
      <c r="B468" s="9"/>
      <c r="C468" s="9"/>
      <c r="D468" s="9"/>
      <c r="E468" s="9"/>
      <c r="F468" s="9"/>
      <c r="G468" s="10"/>
      <c r="H468" s="10"/>
      <c r="I468" s="10"/>
      <c r="J468" s="7" t="str">
        <f t="shared" si="130"/>
        <v/>
      </c>
      <c r="K468" s="7" t="str">
        <f t="shared" si="131"/>
        <v/>
      </c>
      <c r="L468" s="7" t="str">
        <f t="shared" si="132"/>
        <v/>
      </c>
      <c r="M468" s="7" t="str">
        <f t="shared" si="133"/>
        <v/>
      </c>
      <c r="N468" s="7" t="str">
        <f t="shared" si="134"/>
        <v/>
      </c>
      <c r="O468" s="10"/>
      <c r="P468" s="7" t="str">
        <f t="shared" si="135"/>
        <v/>
      </c>
      <c r="Q468" s="2" t="str">
        <f t="shared" si="136"/>
        <v/>
      </c>
      <c r="R468" s="9" t="s">
        <v>36</v>
      </c>
      <c r="S468" s="9"/>
    </row>
    <row r="469" spans="1:19" ht="16" x14ac:dyDescent="0.2">
      <c r="A469" s="1" t="s">
        <v>569</v>
      </c>
      <c r="B469" s="9"/>
      <c r="C469" s="9"/>
      <c r="D469" s="9"/>
      <c r="E469" s="9"/>
      <c r="F469" s="9"/>
      <c r="G469" s="10"/>
      <c r="H469" s="10"/>
      <c r="I469" s="10"/>
      <c r="J469" s="7" t="str">
        <f t="shared" si="130"/>
        <v/>
      </c>
      <c r="K469" s="7" t="str">
        <f t="shared" si="131"/>
        <v/>
      </c>
      <c r="L469" s="7" t="str">
        <f t="shared" si="132"/>
        <v/>
      </c>
      <c r="M469" s="7" t="str">
        <f t="shared" si="133"/>
        <v/>
      </c>
      <c r="N469" s="7" t="str">
        <f t="shared" si="134"/>
        <v/>
      </c>
      <c r="O469" s="10"/>
      <c r="P469" s="7" t="str">
        <f t="shared" si="135"/>
        <v/>
      </c>
      <c r="Q469" s="2" t="str">
        <f t="shared" si="136"/>
        <v/>
      </c>
      <c r="R469" s="9" t="s">
        <v>36</v>
      </c>
      <c r="S469" s="9"/>
    </row>
    <row r="470" spans="1:19" ht="16" x14ac:dyDescent="0.2">
      <c r="A470" s="1" t="s">
        <v>570</v>
      </c>
      <c r="B470" s="9"/>
      <c r="C470" s="9"/>
      <c r="D470" s="9"/>
      <c r="E470" s="9"/>
      <c r="F470" s="9"/>
      <c r="G470" s="10"/>
      <c r="H470" s="10"/>
      <c r="I470" s="10"/>
      <c r="J470" s="7" t="str">
        <f t="shared" si="130"/>
        <v/>
      </c>
      <c r="K470" s="7" t="str">
        <f t="shared" si="131"/>
        <v/>
      </c>
      <c r="L470" s="7" t="str">
        <f t="shared" si="132"/>
        <v/>
      </c>
      <c r="M470" s="7" t="str">
        <f t="shared" si="133"/>
        <v/>
      </c>
      <c r="N470" s="7" t="str">
        <f t="shared" si="134"/>
        <v/>
      </c>
      <c r="O470" s="10"/>
      <c r="P470" s="7" t="str">
        <f t="shared" si="135"/>
        <v/>
      </c>
      <c r="Q470" s="2" t="str">
        <f t="shared" si="136"/>
        <v/>
      </c>
      <c r="R470" s="9" t="s">
        <v>36</v>
      </c>
      <c r="S470" s="9"/>
    </row>
    <row r="471" spans="1:19" ht="16" x14ac:dyDescent="0.2">
      <c r="A471" s="1" t="s">
        <v>571</v>
      </c>
      <c r="B471" s="9"/>
      <c r="C471" s="9"/>
      <c r="D471" s="9"/>
      <c r="E471" s="9"/>
      <c r="F471" s="9"/>
      <c r="G471" s="10"/>
      <c r="H471" s="10"/>
      <c r="I471" s="10"/>
      <c r="J471" s="7" t="str">
        <f t="shared" si="130"/>
        <v/>
      </c>
      <c r="K471" s="7" t="str">
        <f t="shared" si="131"/>
        <v/>
      </c>
      <c r="L471" s="7" t="str">
        <f t="shared" si="132"/>
        <v/>
      </c>
      <c r="M471" s="7" t="str">
        <f t="shared" si="133"/>
        <v/>
      </c>
      <c r="N471" s="7" t="str">
        <f t="shared" si="134"/>
        <v/>
      </c>
      <c r="O471" s="10"/>
      <c r="P471" s="7" t="str">
        <f t="shared" si="135"/>
        <v/>
      </c>
      <c r="Q471" s="2" t="str">
        <f t="shared" si="136"/>
        <v/>
      </c>
      <c r="R471" s="9" t="s">
        <v>36</v>
      </c>
      <c r="S471" s="9"/>
    </row>
    <row r="472" spans="1:19" ht="16" x14ac:dyDescent="0.2">
      <c r="A472" s="1" t="s">
        <v>572</v>
      </c>
      <c r="B472" s="9"/>
      <c r="C472" s="9"/>
      <c r="D472" s="9"/>
      <c r="E472" s="9"/>
      <c r="F472" s="9"/>
      <c r="G472" s="10"/>
      <c r="H472" s="10"/>
      <c r="I472" s="10"/>
      <c r="J472" s="7" t="str">
        <f t="shared" si="130"/>
        <v/>
      </c>
      <c r="K472" s="7" t="str">
        <f t="shared" si="131"/>
        <v/>
      </c>
      <c r="L472" s="7" t="str">
        <f t="shared" si="132"/>
        <v/>
      </c>
      <c r="M472" s="7" t="str">
        <f t="shared" si="133"/>
        <v/>
      </c>
      <c r="N472" s="7" t="str">
        <f t="shared" si="134"/>
        <v/>
      </c>
      <c r="O472" s="10"/>
      <c r="P472" s="7" t="str">
        <f t="shared" si="135"/>
        <v/>
      </c>
      <c r="Q472" s="2" t="str">
        <f t="shared" si="136"/>
        <v/>
      </c>
      <c r="R472" s="9" t="s">
        <v>36</v>
      </c>
      <c r="S472" s="9"/>
    </row>
    <row r="473" spans="1:19" ht="16" x14ac:dyDescent="0.2">
      <c r="A473" s="1" t="s">
        <v>573</v>
      </c>
      <c r="B473" s="9"/>
      <c r="C473" s="9"/>
      <c r="D473" s="9"/>
      <c r="E473" s="9"/>
      <c r="F473" s="9"/>
      <c r="G473" s="10"/>
      <c r="H473" s="10"/>
      <c r="I473" s="10"/>
      <c r="J473" s="7" t="str">
        <f t="shared" si="130"/>
        <v/>
      </c>
      <c r="K473" s="7" t="str">
        <f t="shared" si="131"/>
        <v/>
      </c>
      <c r="L473" s="7" t="str">
        <f t="shared" si="132"/>
        <v/>
      </c>
      <c r="M473" s="7" t="str">
        <f t="shared" si="133"/>
        <v/>
      </c>
      <c r="N473" s="7" t="str">
        <f t="shared" si="134"/>
        <v/>
      </c>
      <c r="O473" s="10"/>
      <c r="P473" s="7" t="str">
        <f t="shared" si="135"/>
        <v/>
      </c>
      <c r="Q473" s="2" t="str">
        <f t="shared" si="136"/>
        <v/>
      </c>
      <c r="R473" s="9" t="s">
        <v>36</v>
      </c>
      <c r="S473" s="9"/>
    </row>
    <row r="474" spans="1:19" ht="16" x14ac:dyDescent="0.2">
      <c r="A474" s="1" t="s">
        <v>574</v>
      </c>
      <c r="B474" s="9"/>
      <c r="C474" s="9"/>
      <c r="D474" s="9"/>
      <c r="E474" s="9"/>
      <c r="F474" s="9"/>
      <c r="G474" s="10"/>
      <c r="H474" s="10"/>
      <c r="I474" s="10"/>
      <c r="J474" s="7" t="str">
        <f t="shared" si="130"/>
        <v/>
      </c>
      <c r="K474" s="7" t="str">
        <f t="shared" si="131"/>
        <v/>
      </c>
      <c r="L474" s="7" t="str">
        <f t="shared" si="132"/>
        <v/>
      </c>
      <c r="M474" s="7" t="str">
        <f t="shared" si="133"/>
        <v/>
      </c>
      <c r="N474" s="7" t="str">
        <f t="shared" si="134"/>
        <v/>
      </c>
      <c r="O474" s="10"/>
      <c r="P474" s="7" t="str">
        <f t="shared" si="135"/>
        <v/>
      </c>
      <c r="Q474" s="2" t="str">
        <f t="shared" si="136"/>
        <v/>
      </c>
      <c r="R474" s="9" t="s">
        <v>36</v>
      </c>
      <c r="S474" s="9"/>
    </row>
    <row r="475" spans="1:19" ht="16" x14ac:dyDescent="0.2">
      <c r="A475" s="1" t="s">
        <v>575</v>
      </c>
      <c r="B475" s="9"/>
      <c r="C475" s="9"/>
      <c r="D475" s="9"/>
      <c r="E475" s="9"/>
      <c r="F475" s="9"/>
      <c r="G475" s="10"/>
      <c r="H475" s="10"/>
      <c r="I475" s="10"/>
      <c r="J475" s="7" t="str">
        <f t="shared" si="130"/>
        <v/>
      </c>
      <c r="K475" s="7" t="str">
        <f t="shared" si="131"/>
        <v/>
      </c>
      <c r="L475" s="7" t="str">
        <f t="shared" si="132"/>
        <v/>
      </c>
      <c r="M475" s="7" t="str">
        <f t="shared" si="133"/>
        <v/>
      </c>
      <c r="N475" s="7" t="str">
        <f t="shared" si="134"/>
        <v/>
      </c>
      <c r="O475" s="10"/>
      <c r="P475" s="7" t="str">
        <f t="shared" si="135"/>
        <v/>
      </c>
      <c r="Q475" s="2" t="str">
        <f t="shared" si="136"/>
        <v/>
      </c>
      <c r="R475" s="9" t="s">
        <v>36</v>
      </c>
      <c r="S475" s="9"/>
    </row>
    <row r="476" spans="1:19" ht="16" x14ac:dyDescent="0.2">
      <c r="A476" s="1" t="s">
        <v>576</v>
      </c>
      <c r="B476" s="9"/>
      <c r="C476" s="9"/>
      <c r="D476" s="9"/>
      <c r="E476" s="9"/>
      <c r="F476" s="9"/>
      <c r="G476" s="10"/>
      <c r="H476" s="10"/>
      <c r="I476" s="10"/>
      <c r="J476" s="7" t="str">
        <f t="shared" si="130"/>
        <v/>
      </c>
      <c r="K476" s="7" t="str">
        <f t="shared" si="131"/>
        <v/>
      </c>
      <c r="L476" s="7" t="str">
        <f t="shared" si="132"/>
        <v/>
      </c>
      <c r="M476" s="7" t="str">
        <f t="shared" si="133"/>
        <v/>
      </c>
      <c r="N476" s="7" t="str">
        <f t="shared" si="134"/>
        <v/>
      </c>
      <c r="O476" s="10"/>
      <c r="P476" s="7" t="str">
        <f t="shared" si="135"/>
        <v/>
      </c>
      <c r="Q476" s="2" t="str">
        <f t="shared" si="136"/>
        <v/>
      </c>
      <c r="R476" s="9" t="s">
        <v>36</v>
      </c>
      <c r="S476" s="9"/>
    </row>
    <row r="477" spans="1:19" ht="16" x14ac:dyDescent="0.2">
      <c r="A477" s="1" t="s">
        <v>577</v>
      </c>
      <c r="B477" s="9"/>
      <c r="C477" s="9"/>
      <c r="D477" s="9"/>
      <c r="E477" s="9"/>
      <c r="F477" s="9"/>
      <c r="G477" s="10"/>
      <c r="H477" s="10"/>
      <c r="I477" s="10"/>
      <c r="J477" s="7" t="str">
        <f t="shared" si="130"/>
        <v/>
      </c>
      <c r="K477" s="7" t="str">
        <f t="shared" si="131"/>
        <v/>
      </c>
      <c r="L477" s="7" t="str">
        <f t="shared" si="132"/>
        <v/>
      </c>
      <c r="M477" s="7" t="str">
        <f t="shared" si="133"/>
        <v/>
      </c>
      <c r="N477" s="7" t="str">
        <f t="shared" si="134"/>
        <v/>
      </c>
      <c r="O477" s="10"/>
      <c r="P477" s="7" t="str">
        <f t="shared" si="135"/>
        <v/>
      </c>
      <c r="Q477" s="2" t="str">
        <f t="shared" si="136"/>
        <v/>
      </c>
      <c r="R477" s="9" t="s">
        <v>36</v>
      </c>
      <c r="S477" s="9"/>
    </row>
    <row r="478" spans="1:19" ht="16" x14ac:dyDescent="0.2">
      <c r="A478" s="1" t="s">
        <v>578</v>
      </c>
      <c r="B478" s="9"/>
      <c r="C478" s="9"/>
      <c r="D478" s="9"/>
      <c r="E478" s="9"/>
      <c r="F478" s="9"/>
      <c r="G478" s="10"/>
      <c r="H478" s="10"/>
      <c r="I478" s="10"/>
      <c r="J478" s="7" t="str">
        <f t="shared" si="130"/>
        <v/>
      </c>
      <c r="K478" s="7" t="str">
        <f t="shared" si="131"/>
        <v/>
      </c>
      <c r="L478" s="7" t="str">
        <f t="shared" si="132"/>
        <v/>
      </c>
      <c r="M478" s="7" t="str">
        <f t="shared" si="133"/>
        <v/>
      </c>
      <c r="N478" s="7" t="str">
        <f t="shared" si="134"/>
        <v/>
      </c>
      <c r="O478" s="10"/>
      <c r="P478" s="7" t="str">
        <f t="shared" si="135"/>
        <v/>
      </c>
      <c r="Q478" s="2" t="str">
        <f t="shared" si="136"/>
        <v/>
      </c>
      <c r="R478" s="9" t="s">
        <v>36</v>
      </c>
      <c r="S478" s="9"/>
    </row>
    <row r="479" spans="1:19" ht="16" x14ac:dyDescent="0.2">
      <c r="A479" s="1" t="s">
        <v>579</v>
      </c>
      <c r="B479" s="9"/>
      <c r="C479" s="9"/>
      <c r="D479" s="9"/>
      <c r="E479" s="9"/>
      <c r="F479" s="9"/>
      <c r="G479" s="10"/>
      <c r="H479" s="10"/>
      <c r="I479" s="10"/>
      <c r="J479" s="7" t="str">
        <f t="shared" si="130"/>
        <v/>
      </c>
      <c r="K479" s="7" t="str">
        <f t="shared" si="131"/>
        <v/>
      </c>
      <c r="L479" s="7" t="str">
        <f t="shared" si="132"/>
        <v/>
      </c>
      <c r="M479" s="7" t="str">
        <f t="shared" si="133"/>
        <v/>
      </c>
      <c r="N479" s="7" t="str">
        <f t="shared" si="134"/>
        <v/>
      </c>
      <c r="O479" s="10"/>
      <c r="P479" s="7" t="str">
        <f t="shared" si="135"/>
        <v/>
      </c>
      <c r="Q479" s="2" t="str">
        <f t="shared" si="136"/>
        <v/>
      </c>
      <c r="R479" s="9" t="s">
        <v>36</v>
      </c>
      <c r="S479" s="9"/>
    </row>
    <row r="480" spans="1:19" ht="16" x14ac:dyDescent="0.2">
      <c r="A480" s="1" t="s">
        <v>580</v>
      </c>
      <c r="B480" s="9"/>
      <c r="C480" s="9"/>
      <c r="D480" s="9"/>
      <c r="E480" s="9"/>
      <c r="F480" s="9"/>
      <c r="G480" s="10"/>
      <c r="H480" s="10"/>
      <c r="I480" s="10"/>
      <c r="J480" s="7" t="str">
        <f t="shared" si="130"/>
        <v/>
      </c>
      <c r="K480" s="7" t="str">
        <f t="shared" si="131"/>
        <v/>
      </c>
      <c r="L480" s="7" t="str">
        <f t="shared" si="132"/>
        <v/>
      </c>
      <c r="M480" s="7" t="str">
        <f t="shared" si="133"/>
        <v/>
      </c>
      <c r="N480" s="7" t="str">
        <f t="shared" si="134"/>
        <v/>
      </c>
      <c r="O480" s="10"/>
      <c r="P480" s="7" t="str">
        <f t="shared" si="135"/>
        <v/>
      </c>
      <c r="Q480" s="2" t="str">
        <f t="shared" si="136"/>
        <v/>
      </c>
      <c r="R480" s="9" t="s">
        <v>36</v>
      </c>
      <c r="S480" s="9"/>
    </row>
    <row r="481" spans="1:19" ht="16" x14ac:dyDescent="0.2">
      <c r="A481" s="1" t="s">
        <v>581</v>
      </c>
      <c r="B481" s="9"/>
      <c r="C481" s="9"/>
      <c r="D481" s="9"/>
      <c r="E481" s="9"/>
      <c r="F481" s="9"/>
      <c r="G481" s="10"/>
      <c r="H481" s="10"/>
      <c r="I481" s="10"/>
      <c r="J481" s="7" t="str">
        <f t="shared" si="130"/>
        <v/>
      </c>
      <c r="K481" s="7" t="str">
        <f t="shared" si="131"/>
        <v/>
      </c>
      <c r="L481" s="7" t="str">
        <f t="shared" si="132"/>
        <v/>
      </c>
      <c r="M481" s="7" t="str">
        <f t="shared" si="133"/>
        <v/>
      </c>
      <c r="N481" s="7" t="str">
        <f t="shared" si="134"/>
        <v/>
      </c>
      <c r="O481" s="10"/>
      <c r="P481" s="7" t="str">
        <f t="shared" si="135"/>
        <v/>
      </c>
      <c r="Q481" s="2" t="str">
        <f t="shared" si="136"/>
        <v/>
      </c>
      <c r="R481" s="9" t="s">
        <v>36</v>
      </c>
      <c r="S481" s="9"/>
    </row>
    <row r="482" spans="1:19" ht="16" x14ac:dyDescent="0.2">
      <c r="A482" s="1" t="s">
        <v>582</v>
      </c>
      <c r="B482" s="9"/>
      <c r="C482" s="9"/>
      <c r="D482" s="9"/>
      <c r="E482" s="9"/>
      <c r="F482" s="9"/>
      <c r="G482" s="10"/>
      <c r="H482" s="10"/>
      <c r="I482" s="10"/>
      <c r="J482" s="7" t="str">
        <f t="shared" si="130"/>
        <v/>
      </c>
      <c r="K482" s="7" t="str">
        <f t="shared" si="131"/>
        <v/>
      </c>
      <c r="L482" s="7" t="str">
        <f t="shared" si="132"/>
        <v/>
      </c>
      <c r="M482" s="7" t="str">
        <f t="shared" si="133"/>
        <v/>
      </c>
      <c r="N482" s="7" t="str">
        <f t="shared" si="134"/>
        <v/>
      </c>
      <c r="O482" s="10"/>
      <c r="P482" s="7" t="str">
        <f t="shared" si="135"/>
        <v/>
      </c>
      <c r="Q482" s="2" t="str">
        <f t="shared" si="136"/>
        <v/>
      </c>
      <c r="R482" s="9" t="s">
        <v>36</v>
      </c>
      <c r="S482" s="9"/>
    </row>
    <row r="483" spans="1:19" ht="16" x14ac:dyDescent="0.2">
      <c r="A483" s="1" t="s">
        <v>583</v>
      </c>
      <c r="B483" s="9"/>
      <c r="C483" s="9"/>
      <c r="D483" s="9"/>
      <c r="E483" s="9"/>
      <c r="F483" s="9"/>
      <c r="G483" s="10"/>
      <c r="H483" s="10"/>
      <c r="I483" s="10"/>
      <c r="J483" s="7" t="str">
        <f t="shared" si="130"/>
        <v/>
      </c>
      <c r="K483" s="7" t="str">
        <f t="shared" si="131"/>
        <v/>
      </c>
      <c r="L483" s="7" t="str">
        <f t="shared" si="132"/>
        <v/>
      </c>
      <c r="M483" s="7" t="str">
        <f t="shared" si="133"/>
        <v/>
      </c>
      <c r="N483" s="7" t="str">
        <f t="shared" si="134"/>
        <v/>
      </c>
      <c r="O483" s="10"/>
      <c r="P483" s="7" t="str">
        <f t="shared" si="135"/>
        <v/>
      </c>
      <c r="Q483" s="2" t="str">
        <f t="shared" si="136"/>
        <v/>
      </c>
      <c r="R483" s="9" t="s">
        <v>36</v>
      </c>
      <c r="S483" s="9"/>
    </row>
    <row r="484" spans="1:19" ht="16" x14ac:dyDescent="0.2">
      <c r="A484" s="1" t="s">
        <v>584</v>
      </c>
      <c r="B484" s="9"/>
      <c r="C484" s="9"/>
      <c r="D484" s="9"/>
      <c r="E484" s="9"/>
      <c r="F484" s="9"/>
      <c r="G484" s="10"/>
      <c r="H484" s="10"/>
      <c r="I484" s="10"/>
      <c r="J484" s="7" t="str">
        <f t="shared" si="130"/>
        <v/>
      </c>
      <c r="K484" s="7" t="str">
        <f t="shared" si="131"/>
        <v/>
      </c>
      <c r="L484" s="7" t="str">
        <f t="shared" si="132"/>
        <v/>
      </c>
      <c r="M484" s="7" t="str">
        <f t="shared" si="133"/>
        <v/>
      </c>
      <c r="N484" s="7" t="str">
        <f t="shared" si="134"/>
        <v/>
      </c>
      <c r="O484" s="10"/>
      <c r="P484" s="7" t="str">
        <f t="shared" si="135"/>
        <v/>
      </c>
      <c r="Q484" s="2" t="str">
        <f t="shared" si="136"/>
        <v/>
      </c>
      <c r="R484" s="9" t="s">
        <v>36</v>
      </c>
      <c r="S484" s="9"/>
    </row>
    <row r="485" spans="1:19" ht="16" x14ac:dyDescent="0.2">
      <c r="A485" s="1" t="s">
        <v>585</v>
      </c>
      <c r="B485" s="9"/>
      <c r="C485" s="9"/>
      <c r="D485" s="9"/>
      <c r="E485" s="9"/>
      <c r="F485" s="9"/>
      <c r="G485" s="10"/>
      <c r="H485" s="10"/>
      <c r="I485" s="10"/>
      <c r="J485" s="7" t="str">
        <f t="shared" si="130"/>
        <v/>
      </c>
      <c r="K485" s="7" t="str">
        <f t="shared" si="131"/>
        <v/>
      </c>
      <c r="L485" s="7" t="str">
        <f t="shared" si="132"/>
        <v/>
      </c>
      <c r="M485" s="7" t="str">
        <f t="shared" si="133"/>
        <v/>
      </c>
      <c r="N485" s="7" t="str">
        <f t="shared" si="134"/>
        <v/>
      </c>
      <c r="O485" s="10"/>
      <c r="P485" s="7" t="str">
        <f t="shared" si="135"/>
        <v/>
      </c>
      <c r="Q485" s="2" t="str">
        <f t="shared" si="136"/>
        <v/>
      </c>
      <c r="R485" s="9" t="s">
        <v>36</v>
      </c>
      <c r="S485" s="9"/>
    </row>
    <row r="486" spans="1:19" ht="16" x14ac:dyDescent="0.2">
      <c r="A486" s="1" t="s">
        <v>586</v>
      </c>
      <c r="B486" s="9"/>
      <c r="C486" s="9"/>
      <c r="D486" s="9"/>
      <c r="E486" s="9"/>
      <c r="F486" s="9"/>
      <c r="G486" s="10"/>
      <c r="H486" s="10"/>
      <c r="I486" s="10"/>
      <c r="J486" s="7" t="str">
        <f t="shared" si="130"/>
        <v/>
      </c>
      <c r="K486" s="7" t="str">
        <f t="shared" si="131"/>
        <v/>
      </c>
      <c r="L486" s="7" t="str">
        <f t="shared" si="132"/>
        <v/>
      </c>
      <c r="M486" s="7" t="str">
        <f t="shared" si="133"/>
        <v/>
      </c>
      <c r="N486" s="7" t="str">
        <f t="shared" si="134"/>
        <v/>
      </c>
      <c r="O486" s="10"/>
      <c r="P486" s="7" t="str">
        <f t="shared" si="135"/>
        <v/>
      </c>
      <c r="Q486" s="2" t="str">
        <f t="shared" si="136"/>
        <v/>
      </c>
      <c r="R486" s="9" t="s">
        <v>36</v>
      </c>
      <c r="S486" s="9"/>
    </row>
    <row r="487" spans="1:19" ht="16" x14ac:dyDescent="0.2">
      <c r="A487" s="1" t="s">
        <v>587</v>
      </c>
      <c r="B487" s="9"/>
      <c r="C487" s="9"/>
      <c r="D487" s="9"/>
      <c r="E487" s="9"/>
      <c r="F487" s="9"/>
      <c r="G487" s="10"/>
      <c r="H487" s="10"/>
      <c r="I487" s="10"/>
      <c r="J487" s="7" t="str">
        <f t="shared" si="130"/>
        <v/>
      </c>
      <c r="K487" s="7" t="str">
        <f t="shared" si="131"/>
        <v/>
      </c>
      <c r="L487" s="7" t="str">
        <f t="shared" si="132"/>
        <v/>
      </c>
      <c r="M487" s="7" t="str">
        <f t="shared" si="133"/>
        <v/>
      </c>
      <c r="N487" s="7" t="str">
        <f t="shared" si="134"/>
        <v/>
      </c>
      <c r="O487" s="10"/>
      <c r="P487" s="7" t="str">
        <f t="shared" si="135"/>
        <v/>
      </c>
      <c r="Q487" s="2" t="str">
        <f t="shared" si="136"/>
        <v/>
      </c>
      <c r="R487" s="9" t="s">
        <v>36</v>
      </c>
      <c r="S487" s="9"/>
    </row>
    <row r="488" spans="1:19" ht="16" x14ac:dyDescent="0.2">
      <c r="A488" s="1" t="s">
        <v>588</v>
      </c>
      <c r="B488" s="9"/>
      <c r="C488" s="9"/>
      <c r="D488" s="9"/>
      <c r="E488" s="9"/>
      <c r="F488" s="9"/>
      <c r="G488" s="10"/>
      <c r="H488" s="10"/>
      <c r="I488" s="10"/>
      <c r="J488" s="7" t="str">
        <f t="shared" si="130"/>
        <v/>
      </c>
      <c r="K488" s="7" t="str">
        <f t="shared" si="131"/>
        <v/>
      </c>
      <c r="L488" s="7" t="str">
        <f t="shared" si="132"/>
        <v/>
      </c>
      <c r="M488" s="7" t="str">
        <f t="shared" si="133"/>
        <v/>
      </c>
      <c r="N488" s="7" t="str">
        <f t="shared" si="134"/>
        <v/>
      </c>
      <c r="O488" s="10"/>
      <c r="P488" s="7" t="str">
        <f t="shared" si="135"/>
        <v/>
      </c>
      <c r="Q488" s="2" t="str">
        <f t="shared" si="136"/>
        <v/>
      </c>
      <c r="R488" s="9" t="s">
        <v>36</v>
      </c>
      <c r="S488" s="9"/>
    </row>
    <row r="489" spans="1:19" ht="16" x14ac:dyDescent="0.2">
      <c r="A489" s="1" t="s">
        <v>589</v>
      </c>
      <c r="B489" s="9"/>
      <c r="C489" s="9"/>
      <c r="D489" s="9"/>
      <c r="E489" s="9"/>
      <c r="F489" s="9"/>
      <c r="G489" s="10"/>
      <c r="H489" s="10"/>
      <c r="I489" s="10"/>
      <c r="J489" s="7" t="str">
        <f t="shared" si="130"/>
        <v/>
      </c>
      <c r="K489" s="7" t="str">
        <f t="shared" si="131"/>
        <v/>
      </c>
      <c r="L489" s="7" t="str">
        <f t="shared" si="132"/>
        <v/>
      </c>
      <c r="M489" s="7" t="str">
        <f t="shared" si="133"/>
        <v/>
      </c>
      <c r="N489" s="7" t="str">
        <f t="shared" si="134"/>
        <v/>
      </c>
      <c r="O489" s="10"/>
      <c r="P489" s="7" t="str">
        <f t="shared" si="135"/>
        <v/>
      </c>
      <c r="Q489" s="2" t="str">
        <f t="shared" si="136"/>
        <v/>
      </c>
      <c r="R489" s="9" t="s">
        <v>36</v>
      </c>
      <c r="S489" s="9"/>
    </row>
    <row r="490" spans="1:19" ht="16" x14ac:dyDescent="0.2">
      <c r="A490" s="1" t="s">
        <v>590</v>
      </c>
      <c r="B490" s="9"/>
      <c r="C490" s="9"/>
      <c r="D490" s="9"/>
      <c r="E490" s="9"/>
      <c r="F490" s="9"/>
      <c r="G490" s="10"/>
      <c r="H490" s="10"/>
      <c r="I490" s="10"/>
      <c r="J490" s="7" t="str">
        <f t="shared" si="130"/>
        <v/>
      </c>
      <c r="K490" s="7" t="str">
        <f t="shared" si="131"/>
        <v/>
      </c>
      <c r="L490" s="7" t="str">
        <f t="shared" si="132"/>
        <v/>
      </c>
      <c r="M490" s="7" t="str">
        <f t="shared" si="133"/>
        <v/>
      </c>
      <c r="N490" s="7" t="str">
        <f t="shared" si="134"/>
        <v/>
      </c>
      <c r="O490" s="10"/>
      <c r="P490" s="7" t="str">
        <f t="shared" si="135"/>
        <v/>
      </c>
      <c r="Q490" s="2" t="str">
        <f t="shared" si="136"/>
        <v/>
      </c>
      <c r="R490" s="9" t="s">
        <v>36</v>
      </c>
      <c r="S490" s="9"/>
    </row>
    <row r="491" spans="1:19" ht="16" x14ac:dyDescent="0.2">
      <c r="A491" s="1" t="s">
        <v>591</v>
      </c>
      <c r="B491" s="9"/>
      <c r="C491" s="9"/>
      <c r="D491" s="9"/>
      <c r="E491" s="9"/>
      <c r="F491" s="9"/>
      <c r="G491" s="10"/>
      <c r="H491" s="10"/>
      <c r="I491" s="10"/>
      <c r="J491" s="7" t="str">
        <f t="shared" si="130"/>
        <v/>
      </c>
      <c r="K491" s="7" t="str">
        <f t="shared" si="131"/>
        <v/>
      </c>
      <c r="L491" s="7" t="str">
        <f t="shared" si="132"/>
        <v/>
      </c>
      <c r="M491" s="7" t="str">
        <f t="shared" si="133"/>
        <v/>
      </c>
      <c r="N491" s="7" t="str">
        <f t="shared" si="134"/>
        <v/>
      </c>
      <c r="O491" s="10"/>
      <c r="P491" s="7" t="str">
        <f t="shared" si="135"/>
        <v/>
      </c>
      <c r="Q491" s="2" t="str">
        <f t="shared" si="136"/>
        <v/>
      </c>
      <c r="R491" s="9" t="s">
        <v>36</v>
      </c>
      <c r="S491" s="9"/>
    </row>
    <row r="492" spans="1:19" ht="16" x14ac:dyDescent="0.2">
      <c r="A492" s="1" t="s">
        <v>592</v>
      </c>
      <c r="B492" s="9"/>
      <c r="C492" s="9"/>
      <c r="D492" s="9"/>
      <c r="E492" s="9"/>
      <c r="F492" s="9"/>
      <c r="G492" s="10"/>
      <c r="H492" s="10"/>
      <c r="I492" s="10"/>
      <c r="J492" s="7" t="str">
        <f t="shared" si="130"/>
        <v/>
      </c>
      <c r="K492" s="7" t="str">
        <f t="shared" si="131"/>
        <v/>
      </c>
      <c r="L492" s="7" t="str">
        <f t="shared" si="132"/>
        <v/>
      </c>
      <c r="M492" s="7" t="str">
        <f t="shared" si="133"/>
        <v/>
      </c>
      <c r="N492" s="7" t="str">
        <f t="shared" si="134"/>
        <v/>
      </c>
      <c r="O492" s="10"/>
      <c r="P492" s="7" t="str">
        <f t="shared" si="135"/>
        <v/>
      </c>
      <c r="Q492" s="2" t="str">
        <f t="shared" si="136"/>
        <v/>
      </c>
      <c r="R492" s="9" t="s">
        <v>36</v>
      </c>
      <c r="S492" s="9"/>
    </row>
    <row r="493" spans="1:19" ht="16" x14ac:dyDescent="0.2">
      <c r="A493" s="1" t="s">
        <v>593</v>
      </c>
      <c r="B493" s="9"/>
      <c r="C493" s="9"/>
      <c r="D493" s="9"/>
      <c r="E493" s="9"/>
      <c r="F493" s="9"/>
      <c r="G493" s="10"/>
      <c r="H493" s="10"/>
      <c r="I493" s="10"/>
      <c r="J493" s="7" t="str">
        <f t="shared" si="130"/>
        <v/>
      </c>
      <c r="K493" s="7" t="str">
        <f t="shared" si="131"/>
        <v/>
      </c>
      <c r="L493" s="7" t="str">
        <f t="shared" si="132"/>
        <v/>
      </c>
      <c r="M493" s="7" t="str">
        <f t="shared" si="133"/>
        <v/>
      </c>
      <c r="N493" s="7" t="str">
        <f t="shared" si="134"/>
        <v/>
      </c>
      <c r="O493" s="10"/>
      <c r="P493" s="7" t="str">
        <f t="shared" si="135"/>
        <v/>
      </c>
      <c r="Q493" s="2" t="str">
        <f t="shared" si="136"/>
        <v/>
      </c>
      <c r="R493" s="9" t="s">
        <v>36</v>
      </c>
      <c r="S493" s="9"/>
    </row>
    <row r="494" spans="1:19" ht="16" x14ac:dyDescent="0.2">
      <c r="A494" s="1" t="s">
        <v>594</v>
      </c>
      <c r="B494" s="9"/>
      <c r="C494" s="9"/>
      <c r="D494" s="9"/>
      <c r="E494" s="9"/>
      <c r="F494" s="9"/>
      <c r="G494" s="10"/>
      <c r="H494" s="10"/>
      <c r="I494" s="10"/>
      <c r="J494" s="7" t="str">
        <f t="shared" si="130"/>
        <v/>
      </c>
      <c r="K494" s="7" t="str">
        <f t="shared" si="131"/>
        <v/>
      </c>
      <c r="L494" s="7" t="str">
        <f t="shared" si="132"/>
        <v/>
      </c>
      <c r="M494" s="7" t="str">
        <f t="shared" si="133"/>
        <v/>
      </c>
      <c r="N494" s="7" t="str">
        <f t="shared" si="134"/>
        <v/>
      </c>
      <c r="O494" s="10"/>
      <c r="P494" s="7" t="str">
        <f t="shared" si="135"/>
        <v/>
      </c>
      <c r="Q494" s="2" t="str">
        <f t="shared" si="136"/>
        <v/>
      </c>
      <c r="R494" s="9" t="s">
        <v>36</v>
      </c>
      <c r="S494" s="9"/>
    </row>
    <row r="495" spans="1:19" ht="16" x14ac:dyDescent="0.2">
      <c r="A495" s="1" t="s">
        <v>595</v>
      </c>
      <c r="B495" s="9"/>
      <c r="C495" s="9"/>
      <c r="D495" s="9"/>
      <c r="E495" s="9"/>
      <c r="F495" s="9"/>
      <c r="G495" s="10"/>
      <c r="H495" s="10"/>
      <c r="I495" s="10"/>
      <c r="J495" s="7" t="str">
        <f t="shared" si="130"/>
        <v/>
      </c>
      <c r="K495" s="7" t="str">
        <f t="shared" si="131"/>
        <v/>
      </c>
      <c r="L495" s="7" t="str">
        <f t="shared" si="132"/>
        <v/>
      </c>
      <c r="M495" s="7" t="str">
        <f t="shared" si="133"/>
        <v/>
      </c>
      <c r="N495" s="7" t="str">
        <f t="shared" si="134"/>
        <v/>
      </c>
      <c r="O495" s="10"/>
      <c r="P495" s="7" t="str">
        <f t="shared" si="135"/>
        <v/>
      </c>
      <c r="Q495" s="2" t="str">
        <f t="shared" si="136"/>
        <v/>
      </c>
      <c r="R495" s="9" t="s">
        <v>36</v>
      </c>
      <c r="S495" s="9"/>
    </row>
    <row r="496" spans="1:19" ht="16" x14ac:dyDescent="0.2">
      <c r="A496" s="1" t="s">
        <v>596</v>
      </c>
      <c r="B496" s="9"/>
      <c r="C496" s="9"/>
      <c r="D496" s="9"/>
      <c r="E496" s="9"/>
      <c r="F496" s="9"/>
      <c r="G496" s="10"/>
      <c r="H496" s="10"/>
      <c r="I496" s="10"/>
      <c r="J496" s="7" t="str">
        <f t="shared" si="130"/>
        <v/>
      </c>
      <c r="K496" s="7" t="str">
        <f t="shared" si="131"/>
        <v/>
      </c>
      <c r="L496" s="7" t="str">
        <f t="shared" si="132"/>
        <v/>
      </c>
      <c r="M496" s="7" t="str">
        <f t="shared" si="133"/>
        <v/>
      </c>
      <c r="N496" s="7" t="str">
        <f t="shared" si="134"/>
        <v/>
      </c>
      <c r="O496" s="10"/>
      <c r="P496" s="7" t="str">
        <f t="shared" si="135"/>
        <v/>
      </c>
      <c r="Q496" s="2" t="str">
        <f t="shared" si="136"/>
        <v/>
      </c>
      <c r="R496" s="9" t="s">
        <v>36</v>
      </c>
      <c r="S496" s="9"/>
    </row>
    <row r="497" spans="1:19" ht="16" x14ac:dyDescent="0.2">
      <c r="A497" s="1" t="s">
        <v>597</v>
      </c>
      <c r="B497" s="9"/>
      <c r="C497" s="9"/>
      <c r="D497" s="9"/>
      <c r="E497" s="9"/>
      <c r="F497" s="9"/>
      <c r="G497" s="10"/>
      <c r="H497" s="10"/>
      <c r="I497" s="10"/>
      <c r="J497" s="7" t="str">
        <f t="shared" si="130"/>
        <v/>
      </c>
      <c r="K497" s="7" t="str">
        <f t="shared" si="131"/>
        <v/>
      </c>
      <c r="L497" s="7" t="str">
        <f t="shared" si="132"/>
        <v/>
      </c>
      <c r="M497" s="7" t="str">
        <f t="shared" si="133"/>
        <v/>
      </c>
      <c r="N497" s="7" t="str">
        <f t="shared" si="134"/>
        <v/>
      </c>
      <c r="O497" s="10"/>
      <c r="P497" s="7" t="str">
        <f t="shared" si="135"/>
        <v/>
      </c>
      <c r="Q497" s="2" t="str">
        <f t="shared" si="136"/>
        <v/>
      </c>
      <c r="R497" s="9" t="s">
        <v>36</v>
      </c>
      <c r="S497" s="9"/>
    </row>
    <row r="498" spans="1:19" ht="16" x14ac:dyDescent="0.2">
      <c r="A498" s="1" t="s">
        <v>598</v>
      </c>
      <c r="B498" s="9"/>
      <c r="C498" s="9"/>
      <c r="D498" s="9"/>
      <c r="E498" s="9"/>
      <c r="F498" s="9"/>
      <c r="G498" s="10"/>
      <c r="H498" s="10"/>
      <c r="I498" s="10"/>
      <c r="J498" s="7" t="str">
        <f t="shared" si="130"/>
        <v/>
      </c>
      <c r="K498" s="7" t="str">
        <f t="shared" si="131"/>
        <v/>
      </c>
      <c r="L498" s="7" t="str">
        <f t="shared" si="132"/>
        <v/>
      </c>
      <c r="M498" s="7" t="str">
        <f t="shared" si="133"/>
        <v/>
      </c>
      <c r="N498" s="7" t="str">
        <f t="shared" si="134"/>
        <v/>
      </c>
      <c r="O498" s="10"/>
      <c r="P498" s="7" t="str">
        <f t="shared" si="135"/>
        <v/>
      </c>
      <c r="Q498" s="2" t="str">
        <f t="shared" si="136"/>
        <v/>
      </c>
      <c r="R498" s="9" t="s">
        <v>36</v>
      </c>
      <c r="S498" s="9"/>
    </row>
    <row r="499" spans="1:19" ht="16" x14ac:dyDescent="0.2">
      <c r="A499" s="1" t="s">
        <v>599</v>
      </c>
      <c r="B499" s="9"/>
      <c r="C499" s="9"/>
      <c r="D499" s="9"/>
      <c r="E499" s="9"/>
      <c r="F499" s="9"/>
      <c r="G499" s="10"/>
      <c r="H499" s="10"/>
      <c r="I499" s="10"/>
      <c r="J499" s="7" t="str">
        <f t="shared" si="130"/>
        <v/>
      </c>
      <c r="K499" s="7" t="str">
        <f t="shared" si="131"/>
        <v/>
      </c>
      <c r="L499" s="7" t="str">
        <f t="shared" si="132"/>
        <v/>
      </c>
      <c r="M499" s="7" t="str">
        <f t="shared" si="133"/>
        <v/>
      </c>
      <c r="N499" s="7" t="str">
        <f t="shared" si="134"/>
        <v/>
      </c>
      <c r="O499" s="10"/>
      <c r="P499" s="7" t="str">
        <f t="shared" si="135"/>
        <v/>
      </c>
      <c r="Q499" s="2" t="str">
        <f t="shared" si="136"/>
        <v/>
      </c>
      <c r="R499" s="9" t="s">
        <v>36</v>
      </c>
      <c r="S499" s="9"/>
    </row>
    <row r="500" spans="1:19" ht="16" x14ac:dyDescent="0.2">
      <c r="A500" s="1" t="s">
        <v>600</v>
      </c>
      <c r="B500" s="9"/>
      <c r="C500" s="9"/>
      <c r="D500" s="9"/>
      <c r="E500" s="9"/>
      <c r="F500" s="9"/>
      <c r="G500" s="10"/>
      <c r="H500" s="10"/>
      <c r="I500" s="10"/>
      <c r="J500" s="7" t="str">
        <f t="shared" si="130"/>
        <v/>
      </c>
      <c r="K500" s="7" t="str">
        <f t="shared" si="131"/>
        <v/>
      </c>
      <c r="L500" s="7" t="str">
        <f t="shared" si="132"/>
        <v/>
      </c>
      <c r="M500" s="7" t="str">
        <f t="shared" si="133"/>
        <v/>
      </c>
      <c r="N500" s="7" t="str">
        <f t="shared" si="134"/>
        <v/>
      </c>
      <c r="O500" s="10"/>
      <c r="P500" s="7" t="str">
        <f t="shared" si="135"/>
        <v/>
      </c>
      <c r="Q500" s="2" t="str">
        <f t="shared" si="136"/>
        <v/>
      </c>
      <c r="R500" s="9" t="s">
        <v>36</v>
      </c>
      <c r="S500" s="9"/>
    </row>
  </sheetData>
  <autoFilter ref="A1:S500" xr:uid="{00000000-0009-0000-0000-000001000000}"/>
  <phoneticPr fontId="6" type="noConversion"/>
  <conditionalFormatting sqref="J2:J500">
    <cfRule type="expression" dxfId="2" priority="1">
      <formula>J2&lt;&gt;""</formula>
    </cfRule>
  </conditionalFormatting>
  <conditionalFormatting sqref="K2:K500">
    <cfRule type="expression" dxfId="1" priority="2">
      <formula>K2&lt;&gt;""</formula>
    </cfRule>
  </conditionalFormatting>
  <conditionalFormatting sqref="Q2:Q500">
    <cfRule type="expression" dxfId="0" priority="3">
      <formula>Q2&lt;0.25</formula>
    </cfRule>
  </conditionalFormatting>
  <pageMargins left="0.25" right="0.25" top="0.5" bottom="0.5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'05 Lists'!$A$1:$A$6</xm:f>
          </x14:formula1>
          <xm:sqref>R2:R500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500"/>
  <sheetViews>
    <sheetView zoomScale="125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1" customWidth="1"/>
    <col min="2" max="2" width="30" customWidth="1"/>
    <col min="3" max="3" width="14" customWidth="1"/>
    <col min="4" max="4" width="20" customWidth="1"/>
    <col min="5" max="5" width="22" customWidth="1"/>
    <col min="6" max="6" width="20" customWidth="1"/>
    <col min="7" max="7" width="18" customWidth="1"/>
    <col min="8" max="8" width="20" customWidth="1"/>
    <col min="9" max="9" width="30" customWidth="1"/>
  </cols>
  <sheetData>
    <row r="1" spans="1:9" ht="16" x14ac:dyDescent="0.2">
      <c r="A1" s="18" t="s">
        <v>16</v>
      </c>
      <c r="B1" s="18" t="s">
        <v>18</v>
      </c>
      <c r="C1" s="18" t="s">
        <v>20</v>
      </c>
      <c r="D1" s="18" t="s">
        <v>620</v>
      </c>
      <c r="E1" s="18" t="s">
        <v>621</v>
      </c>
      <c r="F1" s="18" t="s">
        <v>622</v>
      </c>
      <c r="G1" s="18" t="s">
        <v>601</v>
      </c>
      <c r="H1" s="18" t="s">
        <v>602</v>
      </c>
      <c r="I1" s="18" t="s">
        <v>14</v>
      </c>
    </row>
    <row r="2" spans="1:9" ht="16" x14ac:dyDescent="0.2">
      <c r="A2" s="13" t="str">
        <f>'01 Product Master'!A2</f>
        <v>SN-0001</v>
      </c>
      <c r="B2" s="13" t="str">
        <f>'01 Product Master'!C2</f>
        <v>ABC Sambal Asli</v>
      </c>
      <c r="C2" s="13" t="str">
        <f>'01 Product Master'!E2</f>
        <v>295 ml</v>
      </c>
      <c r="D2" s="16">
        <f>'01 Product Master'!G2</f>
        <v>500</v>
      </c>
      <c r="E2" s="16">
        <f>'01 Product Master'!H2</f>
        <v>550</v>
      </c>
      <c r="F2" s="16">
        <f>'01 Product Master'!I2</f>
        <v>650</v>
      </c>
      <c r="G2" s="16">
        <f>'01 Product Master'!J2</f>
        <v>567</v>
      </c>
      <c r="H2" s="16">
        <f>'01 Product Master'!K2</f>
        <v>570</v>
      </c>
      <c r="I2" s="13"/>
    </row>
    <row r="3" spans="1:9" ht="16" x14ac:dyDescent="0.2">
      <c r="A3" s="13" t="str">
        <f>'01 Product Master'!A3</f>
        <v>SN-0002</v>
      </c>
      <c r="B3" s="13" t="str">
        <f>'01 Product Master'!C3</f>
        <v>ABC Sambal Extra Pedas</v>
      </c>
      <c r="C3" s="13" t="str">
        <f>'01 Product Master'!E3</f>
        <v>395 ml</v>
      </c>
      <c r="D3" s="16">
        <f>'01 Product Master'!G3</f>
        <v>650</v>
      </c>
      <c r="E3" s="16">
        <f>'01 Product Master'!H3</f>
        <v>550</v>
      </c>
      <c r="F3" s="16">
        <f>'01 Product Master'!I3</f>
        <v>650</v>
      </c>
      <c r="G3" s="16">
        <f>'01 Product Master'!J3</f>
        <v>617</v>
      </c>
      <c r="H3" s="16">
        <f>'01 Product Master'!K3</f>
        <v>620</v>
      </c>
      <c r="I3" s="13"/>
    </row>
    <row r="4" spans="1:9" ht="16" x14ac:dyDescent="0.2">
      <c r="A4" s="13" t="str">
        <f>'01 Product Master'!A4</f>
        <v>SN-0003</v>
      </c>
      <c r="B4" s="13" t="str">
        <f>'01 Product Master'!C4</f>
        <v>Sambel ABC Sachet</v>
      </c>
      <c r="C4" s="13" t="str">
        <f>'01 Product Master'!E4</f>
        <v>10 pcs</v>
      </c>
      <c r="D4" s="16">
        <f>'01 Product Master'!G4</f>
        <v>0</v>
      </c>
      <c r="E4" s="16">
        <f>'01 Product Master'!H4</f>
        <v>0</v>
      </c>
      <c r="F4" s="16">
        <f>'01 Product Master'!I4</f>
        <v>800</v>
      </c>
      <c r="G4" s="16">
        <f>'01 Product Master'!J4</f>
        <v>800</v>
      </c>
      <c r="H4" s="16">
        <f>'01 Product Master'!K4</f>
        <v>800</v>
      </c>
      <c r="I4" s="13"/>
    </row>
    <row r="5" spans="1:9" ht="16" x14ac:dyDescent="0.2">
      <c r="A5" s="13" t="str">
        <f>'01 Product Master'!A5</f>
        <v>SN-0004</v>
      </c>
      <c r="B5" s="13" t="str">
        <f>'01 Product Master'!C5</f>
        <v>Dua Belibis Sauce</v>
      </c>
      <c r="C5" s="13" t="str">
        <f>'01 Product Master'!E5</f>
        <v>23 ml</v>
      </c>
      <c r="D5" s="16">
        <f>'01 Product Master'!G5</f>
        <v>600</v>
      </c>
      <c r="E5" s="16">
        <f>'01 Product Master'!H5</f>
        <v>670</v>
      </c>
      <c r="F5" s="16">
        <f>'01 Product Master'!I5</f>
        <v>750</v>
      </c>
      <c r="G5" s="16">
        <f>'01 Product Master'!J5</f>
        <v>673</v>
      </c>
      <c r="H5" s="16">
        <f>'01 Product Master'!K5</f>
        <v>670</v>
      </c>
      <c r="I5" s="13"/>
    </row>
    <row r="6" spans="1:9" ht="16" x14ac:dyDescent="0.2">
      <c r="A6" s="13" t="str">
        <f>'01 Product Master'!A6</f>
        <v>SN-0005</v>
      </c>
      <c r="B6" s="13" t="str">
        <f>'01 Product Master'!C6</f>
        <v>Saori saus Tiram</v>
      </c>
      <c r="C6" s="13" t="str">
        <f>'01 Product Master'!E6</f>
        <v>10 pcs</v>
      </c>
      <c r="D6" s="16">
        <f>'01 Product Master'!G6</f>
        <v>130</v>
      </c>
      <c r="E6" s="16">
        <f>'01 Product Master'!H6</f>
        <v>0</v>
      </c>
      <c r="F6" s="16">
        <f>'01 Product Master'!I6</f>
        <v>150</v>
      </c>
      <c r="G6" s="16">
        <f>'01 Product Master'!J6</f>
        <v>140</v>
      </c>
      <c r="H6" s="16">
        <f>'01 Product Master'!K6</f>
        <v>140</v>
      </c>
      <c r="I6" s="13"/>
    </row>
    <row r="7" spans="1:9" ht="16" x14ac:dyDescent="0.2">
      <c r="A7" s="13" t="str">
        <f>'01 Product Master'!A7</f>
        <v>SN-0006</v>
      </c>
      <c r="B7" s="13" t="str">
        <f>'01 Product Master'!C7</f>
        <v>Saori Saus Tiram</v>
      </c>
      <c r="C7" s="13" t="str">
        <f>'01 Product Master'!E7</f>
        <v>133 ml</v>
      </c>
      <c r="D7" s="16">
        <f>'01 Product Master'!G7</f>
        <v>610</v>
      </c>
      <c r="E7" s="16">
        <f>'01 Product Master'!H7</f>
        <v>645</v>
      </c>
      <c r="F7" s="16">
        <f>'01 Product Master'!I7</f>
        <v>700</v>
      </c>
      <c r="G7" s="16">
        <f>'01 Product Master'!J7</f>
        <v>652</v>
      </c>
      <c r="H7" s="16">
        <f>'01 Product Master'!K7</f>
        <v>650</v>
      </c>
      <c r="I7" s="13"/>
    </row>
    <row r="8" spans="1:9" ht="16" x14ac:dyDescent="0.2">
      <c r="A8" s="13" t="str">
        <f>'01 Product Master'!A8</f>
        <v>SN-0007</v>
      </c>
      <c r="B8" s="13" t="str">
        <f>'01 Product Master'!C8</f>
        <v>Saori Teriyaki</v>
      </c>
      <c r="C8" s="13" t="str">
        <f>'01 Product Master'!E8</f>
        <v>133 ml</v>
      </c>
      <c r="D8" s="16">
        <f>'01 Product Master'!G8</f>
        <v>0</v>
      </c>
      <c r="E8" s="16">
        <f>'01 Product Master'!H8</f>
        <v>645</v>
      </c>
      <c r="F8" s="16">
        <f>'01 Product Master'!I8</f>
        <v>0</v>
      </c>
      <c r="G8" s="16">
        <f>'01 Product Master'!J8</f>
        <v>645</v>
      </c>
      <c r="H8" s="16">
        <f>'01 Product Master'!K8</f>
        <v>650</v>
      </c>
      <c r="I8" s="13"/>
    </row>
    <row r="9" spans="1:9" ht="16" x14ac:dyDescent="0.2">
      <c r="A9" s="13" t="str">
        <f>'01 Product Master'!A9</f>
        <v>SN-0008</v>
      </c>
      <c r="B9" s="13" t="str">
        <f>'01 Product Master'!C9</f>
        <v>Sambal Uleg Bawang</v>
      </c>
      <c r="C9" s="13" t="str">
        <f>'01 Product Master'!E9</f>
        <v>10 pcs</v>
      </c>
      <c r="D9" s="16">
        <f>'01 Product Master'!H9</f>
        <v>900</v>
      </c>
      <c r="E9" s="16" t="e">
        <f>'01 Product Master'!#REF!</f>
        <v>#REF!</v>
      </c>
      <c r="F9" s="16">
        <f>'01 Product Master'!I9</f>
        <v>1000</v>
      </c>
      <c r="G9" s="16">
        <f>'01 Product Master'!J9</f>
        <v>950</v>
      </c>
      <c r="H9" s="16">
        <f>'01 Product Master'!K9</f>
        <v>950</v>
      </c>
      <c r="I9" s="13"/>
    </row>
    <row r="10" spans="1:9" ht="16" x14ac:dyDescent="0.2">
      <c r="A10" s="13" t="str">
        <f>'01 Product Master'!A10</f>
        <v>SN-0009</v>
      </c>
      <c r="B10" s="13" t="str">
        <f>'01 Product Master'!C10</f>
        <v>Sambal Uleg Rawit</v>
      </c>
      <c r="C10" s="13" t="str">
        <f>'01 Product Master'!E10</f>
        <v>10 pcs</v>
      </c>
      <c r="D10" s="16">
        <f>'01 Product Master'!H10</f>
        <v>900</v>
      </c>
      <c r="E10" s="16" t="e">
        <f>'01 Product Master'!#REF!</f>
        <v>#REF!</v>
      </c>
      <c r="F10" s="16">
        <f>'01 Product Master'!I10</f>
        <v>1000</v>
      </c>
      <c r="G10" s="16">
        <f>'01 Product Master'!J10</f>
        <v>950</v>
      </c>
      <c r="H10" s="16">
        <f>'01 Product Master'!K10</f>
        <v>950</v>
      </c>
      <c r="I10" s="13"/>
    </row>
    <row r="11" spans="1:9" ht="16" x14ac:dyDescent="0.2">
      <c r="A11" s="13" t="str">
        <f>'01 Product Master'!A11</f>
        <v>SN-0010</v>
      </c>
      <c r="B11" s="13" t="str">
        <f>'01 Product Master'!C11</f>
        <v>Sambel Uleg Teri</v>
      </c>
      <c r="C11" s="13" t="str">
        <f>'01 Product Master'!E11</f>
        <v>10 pcs</v>
      </c>
      <c r="D11" s="16">
        <f>'01 Product Master'!H11</f>
        <v>900</v>
      </c>
      <c r="E11" s="16" t="e">
        <f>'01 Product Master'!#REF!</f>
        <v>#REF!</v>
      </c>
      <c r="F11" s="16">
        <f>'01 Product Master'!I11</f>
        <v>1000</v>
      </c>
      <c r="G11" s="16">
        <f>'01 Product Master'!J11</f>
        <v>950</v>
      </c>
      <c r="H11" s="16">
        <f>'01 Product Master'!K11</f>
        <v>950</v>
      </c>
      <c r="I11" s="13"/>
    </row>
    <row r="12" spans="1:9" ht="16" x14ac:dyDescent="0.2">
      <c r="A12" s="13" t="str">
        <f>'01 Product Master'!A12</f>
        <v>SN-0011</v>
      </c>
      <c r="B12" s="13" t="str">
        <f>'01 Product Master'!C12</f>
        <v>Sambel Uleg Udang</v>
      </c>
      <c r="C12" s="13" t="str">
        <f>'01 Product Master'!E12</f>
        <v>10 pcs</v>
      </c>
      <c r="D12" s="16">
        <f>'01 Product Master'!H12</f>
        <v>900</v>
      </c>
      <c r="E12" s="16" t="e">
        <f>'01 Product Master'!#REF!</f>
        <v>#REF!</v>
      </c>
      <c r="F12" s="16">
        <f>'01 Product Master'!I12</f>
        <v>1000</v>
      </c>
      <c r="G12" s="16">
        <f>'01 Product Master'!J12</f>
        <v>950</v>
      </c>
      <c r="H12" s="16">
        <f>'01 Product Master'!K12</f>
        <v>950</v>
      </c>
      <c r="I12" s="13"/>
    </row>
    <row r="13" spans="1:9" ht="16" x14ac:dyDescent="0.2">
      <c r="A13" s="13" t="str">
        <f>'01 Product Master'!A13</f>
        <v>SN-0012</v>
      </c>
      <c r="B13" s="13" t="str">
        <f>'01 Product Master'!C13</f>
        <v>Sambel Uleg Terasi</v>
      </c>
      <c r="C13" s="13" t="str">
        <f>'01 Product Master'!E13</f>
        <v>10 pcs</v>
      </c>
      <c r="D13" s="16">
        <f>'01 Product Master'!H13</f>
        <v>900</v>
      </c>
      <c r="E13" s="16" t="e">
        <f>'01 Product Master'!#REF!</f>
        <v>#REF!</v>
      </c>
      <c r="F13" s="16">
        <f>'01 Product Master'!I13</f>
        <v>1000</v>
      </c>
      <c r="G13" s="16">
        <f>'01 Product Master'!J13</f>
        <v>950</v>
      </c>
      <c r="H13" s="16">
        <f>'01 Product Master'!K13</f>
        <v>950</v>
      </c>
      <c r="I13" s="13"/>
    </row>
    <row r="14" spans="1:9" ht="16" x14ac:dyDescent="0.2">
      <c r="A14" s="13" t="str">
        <f>'01 Product Master'!A14</f>
        <v>SN-0013</v>
      </c>
      <c r="B14" s="13" t="str">
        <f>'01 Product Master'!C14</f>
        <v>Sambel Uleg Rendang</v>
      </c>
      <c r="C14" s="13" t="str">
        <f>'01 Product Master'!E14</f>
        <v>10 pcs</v>
      </c>
      <c r="D14" s="16">
        <f>'01 Product Master'!H14</f>
        <v>900</v>
      </c>
      <c r="E14" s="16" t="e">
        <f>'01 Product Master'!#REF!</f>
        <v>#REF!</v>
      </c>
      <c r="F14" s="16">
        <f>'01 Product Master'!I14</f>
        <v>1000</v>
      </c>
      <c r="G14" s="16">
        <f>'01 Product Master'!J14</f>
        <v>950</v>
      </c>
      <c r="H14" s="16">
        <f>'01 Product Master'!K14</f>
        <v>950</v>
      </c>
      <c r="I14" s="13"/>
    </row>
    <row r="15" spans="1:9" ht="16" x14ac:dyDescent="0.2">
      <c r="A15" s="13" t="str">
        <f>'01 Product Master'!A15</f>
        <v>SN-0014</v>
      </c>
      <c r="B15" s="13" t="str">
        <f>'01 Product Master'!C15</f>
        <v>Sambel Uleg Ijo</v>
      </c>
      <c r="C15" s="13" t="str">
        <f>'01 Product Master'!E15</f>
        <v>10 pcs</v>
      </c>
      <c r="D15" s="16">
        <f>'01 Product Master'!H15</f>
        <v>900</v>
      </c>
      <c r="E15" s="16" t="e">
        <f>'01 Product Master'!#REF!</f>
        <v>#REF!</v>
      </c>
      <c r="F15" s="16">
        <f>'01 Product Master'!I15</f>
        <v>1000</v>
      </c>
      <c r="G15" s="16">
        <f>'01 Product Master'!J15</f>
        <v>950</v>
      </c>
      <c r="H15" s="16">
        <f>'01 Product Master'!K15</f>
        <v>950</v>
      </c>
      <c r="I15" s="13"/>
    </row>
    <row r="16" spans="1:9" ht="16" x14ac:dyDescent="0.2">
      <c r="A16" s="13" t="str">
        <f>'01 Product Master'!A16</f>
        <v>SN-0015</v>
      </c>
      <c r="B16" s="13" t="str">
        <f>'01 Product Master'!C16</f>
        <v>Sambel Uleg Serbaguna</v>
      </c>
      <c r="C16" s="13" t="str">
        <f>'01 Product Master'!E16</f>
        <v>10 pcs</v>
      </c>
      <c r="D16" s="16">
        <f>'01 Product Master'!H16</f>
        <v>900</v>
      </c>
      <c r="E16" s="16" t="e">
        <f>'01 Product Master'!#REF!</f>
        <v>#REF!</v>
      </c>
      <c r="F16" s="16">
        <f>'01 Product Master'!I16</f>
        <v>1000</v>
      </c>
      <c r="G16" s="16">
        <f>'01 Product Master'!J16</f>
        <v>950</v>
      </c>
      <c r="H16" s="16">
        <f>'01 Product Master'!K16</f>
        <v>950</v>
      </c>
      <c r="I16" s="13"/>
    </row>
    <row r="17" spans="1:9" ht="16" x14ac:dyDescent="0.2">
      <c r="A17" s="13" t="str">
        <f>'01 Product Master'!A17</f>
        <v>SN-0016</v>
      </c>
      <c r="B17" s="13" t="str">
        <f>'01 Product Master'!C17</f>
        <v>Indomie Goreng</v>
      </c>
      <c r="C17" s="13" t="str">
        <f>'01 Product Master'!E17</f>
        <v>1 pcs</v>
      </c>
      <c r="D17" s="16">
        <f>'01 Product Master'!G17</f>
        <v>121</v>
      </c>
      <c r="E17" s="16">
        <f>'01 Product Master'!H17</f>
        <v>150</v>
      </c>
      <c r="F17" s="16">
        <f>'01 Product Master'!I17</f>
        <v>150</v>
      </c>
      <c r="G17" s="16">
        <f>'01 Product Master'!J17</f>
        <v>140</v>
      </c>
      <c r="H17" s="16">
        <f>'01 Product Master'!K17</f>
        <v>140</v>
      </c>
      <c r="I17" s="13"/>
    </row>
    <row r="18" spans="1:9" ht="16" x14ac:dyDescent="0.2">
      <c r="A18" s="13" t="str">
        <f>'01 Product Master'!A18</f>
        <v>SN-0017</v>
      </c>
      <c r="B18" s="13" t="str">
        <f>'01 Product Master'!C18</f>
        <v>Indomie Aceh</v>
      </c>
      <c r="C18" s="13" t="str">
        <f>'01 Product Master'!E18</f>
        <v>1 pcs</v>
      </c>
      <c r="D18" s="16">
        <f>'01 Product Master'!G18</f>
        <v>121</v>
      </c>
      <c r="E18" s="16">
        <f>'01 Product Master'!H18</f>
        <v>150</v>
      </c>
      <c r="F18" s="16">
        <f>'01 Product Master'!I18</f>
        <v>150</v>
      </c>
      <c r="G18" s="16">
        <f>'01 Product Master'!J18</f>
        <v>140</v>
      </c>
      <c r="H18" s="16">
        <f>'01 Product Master'!K18</f>
        <v>140</v>
      </c>
      <c r="I18" s="13"/>
    </row>
    <row r="19" spans="1:9" ht="16" x14ac:dyDescent="0.2">
      <c r="A19" s="13" t="str">
        <f>'01 Product Master'!A19</f>
        <v>SN-0018</v>
      </c>
      <c r="B19" s="13" t="str">
        <f>'01 Product Master'!C19</f>
        <v>Indomie Cabe Ijo</v>
      </c>
      <c r="C19" s="13" t="str">
        <f>'01 Product Master'!E19</f>
        <v>1 pcs</v>
      </c>
      <c r="D19" s="16">
        <f>'01 Product Master'!G19</f>
        <v>121</v>
      </c>
      <c r="E19" s="16">
        <f>'01 Product Master'!H19</f>
        <v>150</v>
      </c>
      <c r="F19" s="16">
        <f>'01 Product Master'!I19</f>
        <v>150</v>
      </c>
      <c r="G19" s="16">
        <f>'01 Product Master'!J19</f>
        <v>140</v>
      </c>
      <c r="H19" s="16">
        <f>'01 Product Master'!K19</f>
        <v>140</v>
      </c>
      <c r="I19" s="13"/>
    </row>
    <row r="20" spans="1:9" ht="16" x14ac:dyDescent="0.2">
      <c r="A20" s="13" t="str">
        <f>'01 Product Master'!A20</f>
        <v>SN-0019</v>
      </c>
      <c r="B20" s="13" t="str">
        <f>'01 Product Master'!C20</f>
        <v>Indomie Rendang</v>
      </c>
      <c r="C20" s="13" t="str">
        <f>'01 Product Master'!E20</f>
        <v>1 pcs</v>
      </c>
      <c r="D20" s="16">
        <f>'01 Product Master'!G20</f>
        <v>121</v>
      </c>
      <c r="E20" s="16">
        <f>'01 Product Master'!H20</f>
        <v>150</v>
      </c>
      <c r="F20" s="16">
        <f>'01 Product Master'!I20</f>
        <v>150</v>
      </c>
      <c r="G20" s="16">
        <f>'01 Product Master'!J20</f>
        <v>140</v>
      </c>
      <c r="H20" s="16">
        <f>'01 Product Master'!K20</f>
        <v>140</v>
      </c>
      <c r="I20" s="13"/>
    </row>
    <row r="21" spans="1:9" ht="16" x14ac:dyDescent="0.2">
      <c r="A21" s="13" t="str">
        <f>'01 Product Master'!A21</f>
        <v>SN-0020</v>
      </c>
      <c r="B21" s="13" t="str">
        <f>'01 Product Master'!C21</f>
        <v>Indomie Soto</v>
      </c>
      <c r="C21" s="13" t="str">
        <f>'01 Product Master'!E21</f>
        <v>1 pcs</v>
      </c>
      <c r="D21" s="16">
        <f>'01 Product Master'!G21</f>
        <v>121</v>
      </c>
      <c r="E21" s="16">
        <f>'01 Product Master'!H21</f>
        <v>150</v>
      </c>
      <c r="F21" s="16">
        <f>'01 Product Master'!I21</f>
        <v>150</v>
      </c>
      <c r="G21" s="16">
        <f>'01 Product Master'!J21</f>
        <v>140</v>
      </c>
      <c r="H21" s="16">
        <f>'01 Product Master'!K21</f>
        <v>140</v>
      </c>
      <c r="I21" s="13"/>
    </row>
    <row r="22" spans="1:9" ht="16" x14ac:dyDescent="0.2">
      <c r="A22" s="13" t="str">
        <f>'01 Product Master'!A22</f>
        <v>SN-0021</v>
      </c>
      <c r="B22" s="13" t="str">
        <f>'01 Product Master'!C22</f>
        <v>Indomie Ayam Bawang</v>
      </c>
      <c r="C22" s="13" t="str">
        <f>'01 Product Master'!E22</f>
        <v>1 pcs</v>
      </c>
      <c r="D22" s="16">
        <f>'01 Product Master'!G22</f>
        <v>121</v>
      </c>
      <c r="E22" s="16">
        <f>'01 Product Master'!H22</f>
        <v>150</v>
      </c>
      <c r="F22" s="16">
        <f>'01 Product Master'!I22</f>
        <v>150</v>
      </c>
      <c r="G22" s="16">
        <f>'01 Product Master'!J22</f>
        <v>140</v>
      </c>
      <c r="H22" s="16">
        <f>'01 Product Master'!K22</f>
        <v>140</v>
      </c>
      <c r="I22" s="13"/>
    </row>
    <row r="23" spans="1:9" ht="16" x14ac:dyDescent="0.2">
      <c r="A23" s="13" t="str">
        <f>'01 Product Master'!A23</f>
        <v>SN-0022</v>
      </c>
      <c r="B23" s="13" t="str">
        <f>'01 Product Master'!C23</f>
        <v>Indomie Goreng Pedas</v>
      </c>
      <c r="C23" s="13" t="str">
        <f>'01 Product Master'!E23</f>
        <v>1 pcs</v>
      </c>
      <c r="D23" s="16">
        <f>'01 Product Master'!G23</f>
        <v>121</v>
      </c>
      <c r="E23" s="16">
        <f>'01 Product Master'!H23</f>
        <v>150</v>
      </c>
      <c r="F23" s="16">
        <f>'01 Product Master'!I23</f>
        <v>150</v>
      </c>
      <c r="G23" s="16">
        <f>'01 Product Master'!J23</f>
        <v>140</v>
      </c>
      <c r="H23" s="16">
        <f>'01 Product Master'!K23</f>
        <v>140</v>
      </c>
      <c r="I23" s="13"/>
    </row>
    <row r="24" spans="1:9" ht="16" x14ac:dyDescent="0.2">
      <c r="A24" s="13" t="str">
        <f>'01 Product Master'!A24</f>
        <v>SN-0023</v>
      </c>
      <c r="B24" s="13" t="str">
        <f>'01 Product Master'!C24</f>
        <v>Indomie Kari Ayam</v>
      </c>
      <c r="C24" s="13" t="str">
        <f>'01 Product Master'!E24</f>
        <v>1 pcs</v>
      </c>
      <c r="D24" s="16">
        <f>'01 Product Master'!G24</f>
        <v>121</v>
      </c>
      <c r="E24" s="16">
        <f>'01 Product Master'!H24</f>
        <v>150</v>
      </c>
      <c r="F24" s="16">
        <f>'01 Product Master'!I24</f>
        <v>150</v>
      </c>
      <c r="G24" s="16">
        <f>'01 Product Master'!J24</f>
        <v>140</v>
      </c>
      <c r="H24" s="16">
        <f>'01 Product Master'!K24</f>
        <v>140</v>
      </c>
      <c r="I24" s="13"/>
    </row>
    <row r="25" spans="1:9" ht="16" x14ac:dyDescent="0.2">
      <c r="A25" s="13" t="str">
        <f>'01 Product Master'!A25</f>
        <v>SN-0024</v>
      </c>
      <c r="B25" s="13" t="str">
        <f>'01 Product Master'!C25</f>
        <v>Indomie Ayam Special</v>
      </c>
      <c r="C25" s="13" t="str">
        <f>'01 Product Master'!E25</f>
        <v>1 pcs</v>
      </c>
      <c r="D25" s="16">
        <f>'01 Product Master'!G25</f>
        <v>121</v>
      </c>
      <c r="E25" s="16">
        <f>'01 Product Master'!H25</f>
        <v>150</v>
      </c>
      <c r="F25" s="16">
        <f>'01 Product Master'!I25</f>
        <v>150</v>
      </c>
      <c r="G25" s="16">
        <f>'01 Product Master'!J25</f>
        <v>140</v>
      </c>
      <c r="H25" s="16">
        <f>'01 Product Master'!K25</f>
        <v>140</v>
      </c>
      <c r="I25" s="13"/>
    </row>
    <row r="26" spans="1:9" ht="16" x14ac:dyDescent="0.2">
      <c r="A26" s="13" t="str">
        <f>'01 Product Master'!A26</f>
        <v>SN-0025</v>
      </c>
      <c r="B26" s="13" t="str">
        <f>'01 Product Master'!C26</f>
        <v>Sedaap Goreng</v>
      </c>
      <c r="C26" s="13" t="str">
        <f>'01 Product Master'!E26</f>
        <v>1 pcs</v>
      </c>
      <c r="D26" s="16">
        <f>'01 Product Master'!G26</f>
        <v>198</v>
      </c>
      <c r="E26" s="16">
        <f>'01 Product Master'!H26</f>
        <v>150</v>
      </c>
      <c r="F26" s="16">
        <f>'01 Product Master'!I26</f>
        <v>200</v>
      </c>
      <c r="G26" s="16">
        <f>'01 Product Master'!J26</f>
        <v>183</v>
      </c>
      <c r="H26" s="16">
        <f>'01 Product Master'!K26</f>
        <v>180</v>
      </c>
      <c r="I26" s="13"/>
    </row>
    <row r="27" spans="1:9" ht="16" x14ac:dyDescent="0.2">
      <c r="A27" s="13" t="str">
        <f>'01 Product Master'!A27</f>
        <v>SN-0026</v>
      </c>
      <c r="B27" s="13" t="str">
        <f>'01 Product Master'!C27</f>
        <v>Sedaap Soto</v>
      </c>
      <c r="C27" s="13" t="str">
        <f>'01 Product Master'!E27</f>
        <v>1 pcs</v>
      </c>
      <c r="D27" s="16">
        <f>'01 Product Master'!G27</f>
        <v>198</v>
      </c>
      <c r="E27" s="16">
        <f>'01 Product Master'!H27</f>
        <v>145</v>
      </c>
      <c r="F27" s="16">
        <f>'01 Product Master'!I27</f>
        <v>150</v>
      </c>
      <c r="G27" s="16">
        <f>'01 Product Master'!J27</f>
        <v>164</v>
      </c>
      <c r="H27" s="16">
        <f>'01 Product Master'!K27</f>
        <v>160</v>
      </c>
      <c r="I27" s="13"/>
    </row>
    <row r="28" spans="1:9" ht="16" x14ac:dyDescent="0.2">
      <c r="A28" s="13" t="str">
        <f>'01 Product Master'!A28</f>
        <v>SN-0027</v>
      </c>
      <c r="B28" s="13" t="str">
        <f>'01 Product Master'!C28</f>
        <v>Sedaap Korean Spicy Chicken</v>
      </c>
      <c r="C28" s="13" t="str">
        <f>'01 Product Master'!E28</f>
        <v>1 pcs</v>
      </c>
      <c r="D28" s="16">
        <f>'01 Product Master'!G28</f>
        <v>198</v>
      </c>
      <c r="E28" s="16">
        <f>'01 Product Master'!H28</f>
        <v>145</v>
      </c>
      <c r="F28" s="16">
        <f>'01 Product Master'!I28</f>
        <v>150</v>
      </c>
      <c r="G28" s="16">
        <f>'01 Product Master'!J28</f>
        <v>164</v>
      </c>
      <c r="H28" s="16">
        <f>'01 Product Master'!K28</f>
        <v>160</v>
      </c>
      <c r="I28" s="13"/>
    </row>
    <row r="29" spans="1:9" ht="16" x14ac:dyDescent="0.2">
      <c r="A29" s="13" t="str">
        <f>'01 Product Master'!A29</f>
        <v>SN-0028</v>
      </c>
      <c r="B29" s="13" t="str">
        <f>'01 Product Master'!C29</f>
        <v>Sedaap Bakso</v>
      </c>
      <c r="C29" s="13" t="str">
        <f>'01 Product Master'!E29</f>
        <v>1 pcs</v>
      </c>
      <c r="D29" s="16">
        <f>'01 Product Master'!G29</f>
        <v>198</v>
      </c>
      <c r="E29" s="16">
        <f>'01 Product Master'!H29</f>
        <v>145</v>
      </c>
      <c r="F29" s="16">
        <f>'01 Product Master'!I29</f>
        <v>150</v>
      </c>
      <c r="G29" s="16">
        <f>'01 Product Master'!J29</f>
        <v>164</v>
      </c>
      <c r="H29" s="16">
        <f>'01 Product Master'!K29</f>
        <v>160</v>
      </c>
      <c r="I29" s="13"/>
    </row>
    <row r="30" spans="1:9" ht="16" x14ac:dyDescent="0.2">
      <c r="A30" s="13" t="str">
        <f>'01 Product Master'!A30</f>
        <v>SN-0029</v>
      </c>
      <c r="B30" s="13" t="str">
        <f>'01 Product Master'!C30</f>
        <v>Indomie Ayam Geprek</v>
      </c>
      <c r="C30" s="13" t="str">
        <f>'01 Product Master'!E30</f>
        <v>1 pcs</v>
      </c>
      <c r="D30" s="16">
        <f>'01 Product Master'!G30</f>
        <v>0</v>
      </c>
      <c r="E30" s="16">
        <f>'01 Product Master'!H30</f>
        <v>0</v>
      </c>
      <c r="F30" s="16">
        <f>'01 Product Master'!I30</f>
        <v>0</v>
      </c>
      <c r="G30" s="16" t="str">
        <f>'01 Product Master'!J30</f>
        <v/>
      </c>
      <c r="H30" s="16" t="str">
        <f>'01 Product Master'!K30</f>
        <v/>
      </c>
      <c r="I30" s="13"/>
    </row>
    <row r="31" spans="1:9" ht="16" x14ac:dyDescent="0.2">
      <c r="A31" s="13" t="str">
        <f>'01 Product Master'!A31</f>
        <v>SN-0030</v>
      </c>
      <c r="B31" s="13" t="str">
        <f>'01 Product Master'!C31</f>
        <v>Gaga Goreng Extra Pedas</v>
      </c>
      <c r="C31" s="13" t="str">
        <f>'01 Product Master'!E31</f>
        <v>1 pcs</v>
      </c>
      <c r="D31" s="16">
        <f>'01 Product Master'!G31</f>
        <v>130</v>
      </c>
      <c r="E31" s="16">
        <f>'01 Product Master'!H31</f>
        <v>0</v>
      </c>
      <c r="F31" s="16">
        <f>'01 Product Master'!I31</f>
        <v>200</v>
      </c>
      <c r="G31" s="16">
        <f>'01 Product Master'!J31</f>
        <v>165</v>
      </c>
      <c r="H31" s="16">
        <f>'01 Product Master'!K31</f>
        <v>170</v>
      </c>
      <c r="I31" s="13"/>
    </row>
    <row r="32" spans="1:9" ht="16" x14ac:dyDescent="0.2">
      <c r="A32" s="13" t="str">
        <f>'01 Product Master'!A32</f>
        <v>SN-0031</v>
      </c>
      <c r="B32" s="13" t="str">
        <f>'01 Product Master'!C32</f>
        <v>Gaga Jalapeno</v>
      </c>
      <c r="C32" s="13" t="str">
        <f>'01 Product Master'!E32</f>
        <v>1 pcs</v>
      </c>
      <c r="D32" s="16">
        <f>'01 Product Master'!G32</f>
        <v>130</v>
      </c>
      <c r="E32" s="16">
        <f>'01 Product Master'!H32</f>
        <v>0</v>
      </c>
      <c r="F32" s="16">
        <f>'01 Product Master'!I32</f>
        <v>200</v>
      </c>
      <c r="G32" s="16">
        <f>'01 Product Master'!J32</f>
        <v>165</v>
      </c>
      <c r="H32" s="16">
        <f>'01 Product Master'!K32</f>
        <v>170</v>
      </c>
      <c r="I32" s="13"/>
    </row>
    <row r="33" spans="1:9" ht="16" x14ac:dyDescent="0.2">
      <c r="A33" s="13" t="str">
        <f>'01 Product Master'!A33</f>
        <v>SN-0032</v>
      </c>
      <c r="B33" s="13" t="str">
        <f>'01 Product Master'!C33</f>
        <v>Gaga Blackpapper</v>
      </c>
      <c r="C33" s="13" t="str">
        <f>'01 Product Master'!E33</f>
        <v>1 pcs</v>
      </c>
      <c r="D33" s="16">
        <f>'01 Product Master'!G33</f>
        <v>130</v>
      </c>
      <c r="E33" s="16">
        <f>'01 Product Master'!H33</f>
        <v>0</v>
      </c>
      <c r="F33" s="16">
        <f>'01 Product Master'!I33</f>
        <v>200</v>
      </c>
      <c r="G33" s="16">
        <f>'01 Product Master'!J33</f>
        <v>165</v>
      </c>
      <c r="H33" s="16">
        <f>'01 Product Master'!K33</f>
        <v>170</v>
      </c>
      <c r="I33" s="13"/>
    </row>
    <row r="34" spans="1:9" ht="16" x14ac:dyDescent="0.2">
      <c r="A34" s="13" t="str">
        <f>'01 Product Master'!A34</f>
        <v>SN-0033</v>
      </c>
      <c r="B34" s="13" t="str">
        <f>'01 Product Master'!C34</f>
        <v>Indomie Sambal Rica</v>
      </c>
      <c r="C34" s="13" t="str">
        <f>'01 Product Master'!E34</f>
        <v>1 pcs</v>
      </c>
      <c r="D34" s="16">
        <f>'01 Product Master'!G34</f>
        <v>0</v>
      </c>
      <c r="E34" s="16">
        <f>'01 Product Master'!H34</f>
        <v>0</v>
      </c>
      <c r="F34" s="16">
        <f>'01 Product Master'!I34</f>
        <v>0</v>
      </c>
      <c r="G34" s="16" t="str">
        <f>'01 Product Master'!J34</f>
        <v/>
      </c>
      <c r="H34" s="16" t="str">
        <f>'01 Product Master'!K34</f>
        <v/>
      </c>
      <c r="I34" s="13"/>
    </row>
    <row r="35" spans="1:9" ht="16" x14ac:dyDescent="0.2">
      <c r="A35" s="13" t="str">
        <f>'01 Product Master'!A35</f>
        <v>SN-0034</v>
      </c>
      <c r="B35" s="13" t="str">
        <f>'01 Product Master'!C35</f>
        <v>ABC Selera Pedas</v>
      </c>
      <c r="C35" s="13" t="str">
        <f>'01 Product Master'!E35</f>
        <v>1 pcs</v>
      </c>
      <c r="D35" s="16">
        <f>'01 Product Master'!G35</f>
        <v>220</v>
      </c>
      <c r="E35" s="16">
        <f>'01 Product Master'!H35</f>
        <v>0</v>
      </c>
      <c r="F35" s="16">
        <f>'01 Product Master'!I35</f>
        <v>220</v>
      </c>
      <c r="G35" s="16">
        <f>'01 Product Master'!J35</f>
        <v>220</v>
      </c>
      <c r="H35" s="16">
        <f>'01 Product Master'!K35</f>
        <v>220</v>
      </c>
      <c r="I35" s="13"/>
    </row>
    <row r="36" spans="1:9" ht="16" x14ac:dyDescent="0.2">
      <c r="A36" s="13" t="str">
        <f>'01 Product Master'!A36</f>
        <v>SN-0035</v>
      </c>
      <c r="B36" s="13" t="str">
        <f>'01 Product Master'!C36</f>
        <v>Sedaap Goreng Cup</v>
      </c>
      <c r="C36" s="13" t="str">
        <f>'01 Product Master'!E36</f>
        <v>1 pcs</v>
      </c>
      <c r="D36" s="16">
        <f>'01 Product Master'!G36</f>
        <v>240</v>
      </c>
      <c r="E36" s="16">
        <f>'01 Product Master'!H36</f>
        <v>235</v>
      </c>
      <c r="F36" s="16">
        <f>'01 Product Master'!I36</f>
        <v>220</v>
      </c>
      <c r="G36" s="16">
        <f>'01 Product Master'!J36</f>
        <v>232</v>
      </c>
      <c r="H36" s="16">
        <f>'01 Product Master'!K36</f>
        <v>230</v>
      </c>
      <c r="I36" s="13"/>
    </row>
    <row r="37" spans="1:9" ht="16" x14ac:dyDescent="0.2">
      <c r="A37" s="13" t="str">
        <f>'01 Product Master'!A37</f>
        <v>SN-0036</v>
      </c>
      <c r="B37" s="13" t="str">
        <f>'01 Product Master'!C37</f>
        <v>Bamboe Gule</v>
      </c>
      <c r="C37" s="13" t="str">
        <f>'01 Product Master'!E37</f>
        <v>1 pcs</v>
      </c>
      <c r="D37" s="16">
        <f>'01 Product Master'!G37</f>
        <v>200</v>
      </c>
      <c r="E37" s="16">
        <f>'01 Product Master'!H37</f>
        <v>185</v>
      </c>
      <c r="F37" s="16">
        <f>'01 Product Master'!I37</f>
        <v>210</v>
      </c>
      <c r="G37" s="16">
        <f>'01 Product Master'!J37</f>
        <v>198</v>
      </c>
      <c r="H37" s="16">
        <f>'01 Product Master'!K37</f>
        <v>200</v>
      </c>
      <c r="I37" s="13"/>
    </row>
    <row r="38" spans="1:9" ht="16" x14ac:dyDescent="0.2">
      <c r="A38" s="13" t="str">
        <f>'01 Product Master'!A38</f>
        <v>SN-0037</v>
      </c>
      <c r="B38" s="13" t="str">
        <f>'01 Product Master'!C38</f>
        <v>Bamboe Kare</v>
      </c>
      <c r="C38" s="13" t="str">
        <f>'01 Product Master'!E38</f>
        <v>1 pcs</v>
      </c>
      <c r="D38" s="16">
        <f>'01 Product Master'!G38</f>
        <v>200</v>
      </c>
      <c r="E38" s="16">
        <f>'01 Product Master'!H38</f>
        <v>185</v>
      </c>
      <c r="F38" s="16">
        <f>'01 Product Master'!I38</f>
        <v>210</v>
      </c>
      <c r="G38" s="16">
        <f>'01 Product Master'!J38</f>
        <v>198</v>
      </c>
      <c r="H38" s="16">
        <f>'01 Product Master'!K38</f>
        <v>200</v>
      </c>
      <c r="I38" s="13"/>
    </row>
    <row r="39" spans="1:9" ht="16" x14ac:dyDescent="0.2">
      <c r="A39" s="13" t="str">
        <f>'01 Product Master'!A39</f>
        <v>SN-0038</v>
      </c>
      <c r="B39" s="13" t="str">
        <f>'01 Product Master'!C39</f>
        <v>Bamboe Kuah Bakso</v>
      </c>
      <c r="C39" s="13" t="str">
        <f>'01 Product Master'!E39</f>
        <v>1 pcs</v>
      </c>
      <c r="D39" s="16">
        <f>'01 Product Master'!G39</f>
        <v>200</v>
      </c>
      <c r="E39" s="16">
        <f>'01 Product Master'!H39</f>
        <v>185</v>
      </c>
      <c r="F39" s="16">
        <f>'01 Product Master'!I39</f>
        <v>210</v>
      </c>
      <c r="G39" s="16">
        <f>'01 Product Master'!J39</f>
        <v>198</v>
      </c>
      <c r="H39" s="16">
        <f>'01 Product Master'!K39</f>
        <v>200</v>
      </c>
      <c r="I39" s="13"/>
    </row>
    <row r="40" spans="1:9" ht="16" x14ac:dyDescent="0.2">
      <c r="A40" s="13" t="str">
        <f>'01 Product Master'!A40</f>
        <v>SN-0039</v>
      </c>
      <c r="B40" s="13" t="str">
        <f>'01 Product Master'!C40</f>
        <v>Bamboe Nasi Goreng</v>
      </c>
      <c r="C40" s="13" t="str">
        <f>'01 Product Master'!E40</f>
        <v>1 pcs</v>
      </c>
      <c r="D40" s="16">
        <f>'01 Product Master'!G40</f>
        <v>200</v>
      </c>
      <c r="E40" s="16">
        <f>'01 Product Master'!H40</f>
        <v>185</v>
      </c>
      <c r="F40" s="16">
        <f>'01 Product Master'!I40</f>
        <v>210</v>
      </c>
      <c r="G40" s="16">
        <f>'01 Product Master'!J40</f>
        <v>198</v>
      </c>
      <c r="H40" s="16">
        <f>'01 Product Master'!K40</f>
        <v>200</v>
      </c>
      <c r="I40" s="13"/>
    </row>
    <row r="41" spans="1:9" ht="16" x14ac:dyDescent="0.2">
      <c r="A41" s="13" t="str">
        <f>'01 Product Master'!A41</f>
        <v>SN-0040</v>
      </c>
      <c r="B41" s="13" t="str">
        <f>'01 Product Master'!C41</f>
        <v>Bamboe Nasi Goreng Pedas</v>
      </c>
      <c r="C41" s="13" t="str">
        <f>'01 Product Master'!E41</f>
        <v>1 pcs</v>
      </c>
      <c r="D41" s="16">
        <f>'01 Product Master'!G41</f>
        <v>200</v>
      </c>
      <c r="E41" s="16">
        <f>'01 Product Master'!H41</f>
        <v>185</v>
      </c>
      <c r="F41" s="16">
        <f>'01 Product Master'!I41</f>
        <v>210</v>
      </c>
      <c r="G41" s="16">
        <f>'01 Product Master'!J41</f>
        <v>198</v>
      </c>
      <c r="H41" s="16">
        <f>'01 Product Master'!K41</f>
        <v>200</v>
      </c>
      <c r="I41" s="13"/>
    </row>
    <row r="42" spans="1:9" ht="16" x14ac:dyDescent="0.2">
      <c r="A42" s="13" t="str">
        <f>'01 Product Master'!A42</f>
        <v>SN-0041</v>
      </c>
      <c r="B42" s="13" t="str">
        <f>'01 Product Master'!C42</f>
        <v>Bamboe Opor</v>
      </c>
      <c r="C42" s="13" t="str">
        <f>'01 Product Master'!E42</f>
        <v>1 pcs</v>
      </c>
      <c r="D42" s="16">
        <f>'01 Product Master'!G42</f>
        <v>200</v>
      </c>
      <c r="E42" s="16">
        <f>'01 Product Master'!H42</f>
        <v>185</v>
      </c>
      <c r="F42" s="16">
        <f>'01 Product Master'!I42</f>
        <v>210</v>
      </c>
      <c r="G42" s="16">
        <f>'01 Product Master'!J42</f>
        <v>198</v>
      </c>
      <c r="H42" s="16">
        <f>'01 Product Master'!K42</f>
        <v>200</v>
      </c>
      <c r="I42" s="13"/>
    </row>
    <row r="43" spans="1:9" ht="16" x14ac:dyDescent="0.2">
      <c r="A43" s="13" t="str">
        <f>'01 Product Master'!A43</f>
        <v>SN-0042</v>
      </c>
      <c r="B43" s="13" t="str">
        <f>'01 Product Master'!C43</f>
        <v>Bamboe Rendang</v>
      </c>
      <c r="C43" s="13" t="str">
        <f>'01 Product Master'!E43</f>
        <v>1 pcs</v>
      </c>
      <c r="D43" s="16">
        <f>'01 Product Master'!G43</f>
        <v>200</v>
      </c>
      <c r="E43" s="16">
        <f>'01 Product Master'!H43</f>
        <v>185</v>
      </c>
      <c r="F43" s="16">
        <f>'01 Product Master'!I43</f>
        <v>210</v>
      </c>
      <c r="G43" s="16">
        <f>'01 Product Master'!J43</f>
        <v>198</v>
      </c>
      <c r="H43" s="16">
        <f>'01 Product Master'!K43</f>
        <v>200</v>
      </c>
      <c r="I43" s="13"/>
    </row>
    <row r="44" spans="1:9" ht="16" x14ac:dyDescent="0.2">
      <c r="A44" s="13" t="str">
        <f>'01 Product Master'!A44</f>
        <v>SN-0043</v>
      </c>
      <c r="B44" s="13" t="str">
        <f>'01 Product Master'!C44</f>
        <v>Bamboe Sambal Goreng Ati</v>
      </c>
      <c r="C44" s="13" t="str">
        <f>'01 Product Master'!E44</f>
        <v>1 pcs</v>
      </c>
      <c r="D44" s="16">
        <f>'01 Product Master'!G44</f>
        <v>200</v>
      </c>
      <c r="E44" s="16">
        <f>'01 Product Master'!H44</f>
        <v>185</v>
      </c>
      <c r="F44" s="16">
        <f>'01 Product Master'!I44</f>
        <v>210</v>
      </c>
      <c r="G44" s="16">
        <f>'01 Product Master'!J44</f>
        <v>198</v>
      </c>
      <c r="H44" s="16">
        <f>'01 Product Master'!K44</f>
        <v>200</v>
      </c>
      <c r="I44" s="13"/>
    </row>
    <row r="45" spans="1:9" ht="16" x14ac:dyDescent="0.2">
      <c r="A45" s="13" t="str">
        <f>'01 Product Master'!A45</f>
        <v>SN-0044</v>
      </c>
      <c r="B45" s="13" t="str">
        <f>'01 Product Master'!C45</f>
        <v>Bamboe Sop</v>
      </c>
      <c r="C45" s="13" t="str">
        <f>'01 Product Master'!E45</f>
        <v>1 pcs</v>
      </c>
      <c r="D45" s="16">
        <f>'01 Product Master'!G45</f>
        <v>200</v>
      </c>
      <c r="E45" s="16">
        <f>'01 Product Master'!H45</f>
        <v>185</v>
      </c>
      <c r="F45" s="16">
        <f>'01 Product Master'!I45</f>
        <v>210</v>
      </c>
      <c r="G45" s="16">
        <f>'01 Product Master'!J45</f>
        <v>198</v>
      </c>
      <c r="H45" s="16">
        <f>'01 Product Master'!K45</f>
        <v>200</v>
      </c>
      <c r="I45" s="13"/>
    </row>
    <row r="46" spans="1:9" ht="16" x14ac:dyDescent="0.2">
      <c r="A46" s="13" t="str">
        <f>'01 Product Master'!A46</f>
        <v>SN-0045</v>
      </c>
      <c r="B46" s="13" t="str">
        <f>'01 Product Master'!C46</f>
        <v>Bamboe Soto Ayam</v>
      </c>
      <c r="C46" s="13" t="str">
        <f>'01 Product Master'!E46</f>
        <v>1 pcs</v>
      </c>
      <c r="D46" s="16">
        <f>'01 Product Master'!G46</f>
        <v>200</v>
      </c>
      <c r="E46" s="16">
        <f>'01 Product Master'!H46</f>
        <v>185</v>
      </c>
      <c r="F46" s="16">
        <f>'01 Product Master'!I46</f>
        <v>210</v>
      </c>
      <c r="G46" s="16">
        <f>'01 Product Master'!J46</f>
        <v>198</v>
      </c>
      <c r="H46" s="16">
        <f>'01 Product Master'!K46</f>
        <v>200</v>
      </c>
      <c r="I46" s="13"/>
    </row>
    <row r="47" spans="1:9" ht="16" x14ac:dyDescent="0.2">
      <c r="A47" s="13" t="str">
        <f>'01 Product Master'!A47</f>
        <v>SN-0046</v>
      </c>
      <c r="B47" s="13" t="str">
        <f>'01 Product Master'!C47</f>
        <v>Bamboe Soto Betawi</v>
      </c>
      <c r="C47" s="13" t="str">
        <f>'01 Product Master'!E47</f>
        <v>1 pcs</v>
      </c>
      <c r="D47" s="16">
        <f>'01 Product Master'!G47</f>
        <v>200</v>
      </c>
      <c r="E47" s="16">
        <f>'01 Product Master'!H47</f>
        <v>185</v>
      </c>
      <c r="F47" s="16">
        <f>'01 Product Master'!I47</f>
        <v>210</v>
      </c>
      <c r="G47" s="16">
        <f>'01 Product Master'!J47</f>
        <v>198</v>
      </c>
      <c r="H47" s="16">
        <f>'01 Product Master'!K47</f>
        <v>200</v>
      </c>
      <c r="I47" s="13"/>
    </row>
    <row r="48" spans="1:9" ht="16" x14ac:dyDescent="0.2">
      <c r="A48" s="13" t="str">
        <f>'01 Product Master'!A48</f>
        <v>SN-0047</v>
      </c>
      <c r="B48" s="13" t="str">
        <f>'01 Product Master'!C48</f>
        <v>Bamboe Soto daging</v>
      </c>
      <c r="C48" s="13" t="str">
        <f>'01 Product Master'!E48</f>
        <v>1 pcs</v>
      </c>
      <c r="D48" s="16">
        <f>'01 Product Master'!G48</f>
        <v>200</v>
      </c>
      <c r="E48" s="16">
        <f>'01 Product Master'!H48</f>
        <v>185</v>
      </c>
      <c r="F48" s="16">
        <f>'01 Product Master'!I48</f>
        <v>210</v>
      </c>
      <c r="G48" s="16">
        <f>'01 Product Master'!J48</f>
        <v>198</v>
      </c>
      <c r="H48" s="16">
        <f>'01 Product Master'!K48</f>
        <v>200</v>
      </c>
      <c r="I48" s="13"/>
    </row>
    <row r="49" spans="1:9" ht="16" x14ac:dyDescent="0.2">
      <c r="A49" s="13" t="str">
        <f>'01 Product Master'!A49</f>
        <v>SN-0048</v>
      </c>
      <c r="B49" s="13" t="str">
        <f>'01 Product Master'!C49</f>
        <v>Bamboe Tongseng</v>
      </c>
      <c r="C49" s="13" t="str">
        <f>'01 Product Master'!E49</f>
        <v>1 pcs</v>
      </c>
      <c r="D49" s="16">
        <f>'01 Product Master'!G49</f>
        <v>200</v>
      </c>
      <c r="E49" s="16">
        <f>'01 Product Master'!H49</f>
        <v>185</v>
      </c>
      <c r="F49" s="16">
        <f>'01 Product Master'!I49</f>
        <v>210</v>
      </c>
      <c r="G49" s="16">
        <f>'01 Product Master'!J49</f>
        <v>198</v>
      </c>
      <c r="H49" s="16">
        <f>'01 Product Master'!K49</f>
        <v>200</v>
      </c>
      <c r="I49" s="13"/>
    </row>
    <row r="50" spans="1:9" ht="16" x14ac:dyDescent="0.2">
      <c r="A50" s="13" t="str">
        <f>'01 Product Master'!A50</f>
        <v>SN-0049</v>
      </c>
      <c r="B50" s="13" t="str">
        <f>'01 Product Master'!C50</f>
        <v>Racik Ayam Goreng</v>
      </c>
      <c r="C50" s="13" t="str">
        <f>'01 Product Master'!E50</f>
        <v>1 pcs</v>
      </c>
      <c r="D50" s="16">
        <f>'01 Product Master'!G50</f>
        <v>110</v>
      </c>
      <c r="E50" s="16">
        <f>'01 Product Master'!H50</f>
        <v>0</v>
      </c>
      <c r="F50" s="16">
        <f>'01 Product Master'!I50</f>
        <v>130</v>
      </c>
      <c r="G50" s="16">
        <f>'01 Product Master'!J50</f>
        <v>120</v>
      </c>
      <c r="H50" s="16">
        <f>'01 Product Master'!K50</f>
        <v>120</v>
      </c>
      <c r="I50" s="13"/>
    </row>
    <row r="51" spans="1:9" ht="16" x14ac:dyDescent="0.2">
      <c r="A51" s="13" t="str">
        <f>'01 Product Master'!A51</f>
        <v>SN-0050</v>
      </c>
      <c r="B51" s="13" t="str">
        <f>'01 Product Master'!C51</f>
        <v>Racik Ikan Goreng</v>
      </c>
      <c r="C51" s="13" t="str">
        <f>'01 Product Master'!E51</f>
        <v>1 pcs</v>
      </c>
      <c r="D51" s="16">
        <f>'01 Product Master'!G51</f>
        <v>110</v>
      </c>
      <c r="E51" s="16">
        <f>'01 Product Master'!H51</f>
        <v>0</v>
      </c>
      <c r="F51" s="16">
        <f>'01 Product Master'!I51</f>
        <v>130</v>
      </c>
      <c r="G51" s="16">
        <f>'01 Product Master'!J51</f>
        <v>120</v>
      </c>
      <c r="H51" s="16">
        <f>'01 Product Master'!K51</f>
        <v>120</v>
      </c>
      <c r="I51" s="13"/>
    </row>
    <row r="52" spans="1:9" ht="16" x14ac:dyDescent="0.2">
      <c r="A52" s="13" t="str">
        <f>'01 Product Master'!A52</f>
        <v>SN-0051</v>
      </c>
      <c r="B52" s="13" t="str">
        <f>'01 Product Master'!C52</f>
        <v>Racik Lodeh</v>
      </c>
      <c r="C52" s="13" t="str">
        <f>'01 Product Master'!E52</f>
        <v>1 pcs</v>
      </c>
      <c r="D52" s="16">
        <f>'01 Product Master'!G52</f>
        <v>110</v>
      </c>
      <c r="E52" s="16">
        <f>'01 Product Master'!H52</f>
        <v>0</v>
      </c>
      <c r="F52" s="16">
        <f>'01 Product Master'!I52</f>
        <v>130</v>
      </c>
      <c r="G52" s="16">
        <f>'01 Product Master'!J52</f>
        <v>120</v>
      </c>
      <c r="H52" s="16">
        <f>'01 Product Master'!K52</f>
        <v>120</v>
      </c>
      <c r="I52" s="13"/>
    </row>
    <row r="53" spans="1:9" ht="16" x14ac:dyDescent="0.2">
      <c r="A53" s="13" t="str">
        <f>'01 Product Master'!A53</f>
        <v>SN-0052</v>
      </c>
      <c r="B53" s="13" t="str">
        <f>'01 Product Master'!C53</f>
        <v>Racik Nasi Goreng</v>
      </c>
      <c r="C53" s="13" t="str">
        <f>'01 Product Master'!E53</f>
        <v>1 pcs</v>
      </c>
      <c r="D53" s="16">
        <f>'01 Product Master'!G53</f>
        <v>110</v>
      </c>
      <c r="E53" s="16">
        <f>'01 Product Master'!H53</f>
        <v>0</v>
      </c>
      <c r="F53" s="16">
        <f>'01 Product Master'!I53</f>
        <v>130</v>
      </c>
      <c r="G53" s="16">
        <f>'01 Product Master'!J53</f>
        <v>120</v>
      </c>
      <c r="H53" s="16">
        <f>'01 Product Master'!K53</f>
        <v>120</v>
      </c>
      <c r="I53" s="13"/>
    </row>
    <row r="54" spans="1:9" ht="16" x14ac:dyDescent="0.2">
      <c r="A54" s="13" t="str">
        <f>'01 Product Master'!A54</f>
        <v>SN-0053</v>
      </c>
      <c r="B54" s="13" t="str">
        <f>'01 Product Master'!C54</f>
        <v>Racik Sayur Asem</v>
      </c>
      <c r="C54" s="13" t="str">
        <f>'01 Product Master'!E54</f>
        <v>1 pcs</v>
      </c>
      <c r="D54" s="16">
        <f>'01 Product Master'!G54</f>
        <v>110</v>
      </c>
      <c r="E54" s="16">
        <f>'01 Product Master'!H54</f>
        <v>0</v>
      </c>
      <c r="F54" s="16">
        <f>'01 Product Master'!I54</f>
        <v>130</v>
      </c>
      <c r="G54" s="16">
        <f>'01 Product Master'!J54</f>
        <v>120</v>
      </c>
      <c r="H54" s="16">
        <f>'01 Product Master'!K54</f>
        <v>120</v>
      </c>
      <c r="I54" s="13"/>
    </row>
    <row r="55" spans="1:9" ht="16" x14ac:dyDescent="0.2">
      <c r="A55" s="13" t="str">
        <f>'01 Product Master'!A55</f>
        <v>SN-0054</v>
      </c>
      <c r="B55" s="13" t="str">
        <f>'01 Product Master'!C55</f>
        <v>Racik Tahu Tempe</v>
      </c>
      <c r="C55" s="13" t="str">
        <f>'01 Product Master'!E55</f>
        <v>1 pcs</v>
      </c>
      <c r="D55" s="16">
        <f>'01 Product Master'!G55</f>
        <v>110</v>
      </c>
      <c r="E55" s="16">
        <f>'01 Product Master'!H55</f>
        <v>0</v>
      </c>
      <c r="F55" s="16">
        <f>'01 Product Master'!I55</f>
        <v>130</v>
      </c>
      <c r="G55" s="16">
        <f>'01 Product Master'!J55</f>
        <v>120</v>
      </c>
      <c r="H55" s="16">
        <f>'01 Product Master'!K55</f>
        <v>120</v>
      </c>
      <c r="I55" s="13"/>
    </row>
    <row r="56" spans="1:9" ht="16" x14ac:dyDescent="0.2">
      <c r="A56" s="13" t="str">
        <f>'01 Product Master'!A56</f>
        <v>SN-0055</v>
      </c>
      <c r="B56" s="13" t="str">
        <f>'01 Product Master'!C56</f>
        <v>Kobe Nasi Kuning 1 Pack 3pcs</v>
      </c>
      <c r="C56" s="13" t="str">
        <f>'01 Product Master'!E56</f>
        <v>3 pcs</v>
      </c>
      <c r="D56" s="16">
        <f>'01 Product Master'!G56</f>
        <v>430</v>
      </c>
      <c r="E56" s="16">
        <f>'01 Product Master'!H56</f>
        <v>0</v>
      </c>
      <c r="F56" s="16">
        <f>'01 Product Master'!I56</f>
        <v>500</v>
      </c>
      <c r="G56" s="16">
        <f>'01 Product Master'!J56</f>
        <v>465</v>
      </c>
      <c r="H56" s="16">
        <f>'01 Product Master'!K56</f>
        <v>470</v>
      </c>
      <c r="I56" s="13"/>
    </row>
    <row r="57" spans="1:9" ht="16" x14ac:dyDescent="0.2">
      <c r="A57" s="13" t="str">
        <f>'01 Product Master'!A57</f>
        <v>SN-0056</v>
      </c>
      <c r="B57" s="13" t="str">
        <f>'01 Product Master'!C57</f>
        <v xml:space="preserve">Kobe Nasi Kuning </v>
      </c>
      <c r="C57" s="13" t="str">
        <f>'01 Product Master'!E57</f>
        <v>3 Pcs</v>
      </c>
      <c r="D57" s="16">
        <f>'01 Product Master'!G57</f>
        <v>430</v>
      </c>
      <c r="E57" s="16">
        <f>'01 Product Master'!H57</f>
        <v>0</v>
      </c>
      <c r="F57" s="16">
        <f>'01 Product Master'!I57</f>
        <v>500</v>
      </c>
      <c r="G57" s="16">
        <f>'01 Product Master'!J57</f>
        <v>465</v>
      </c>
      <c r="H57" s="16">
        <f>'01 Product Master'!K57</f>
        <v>470</v>
      </c>
      <c r="I57" s="13"/>
    </row>
    <row r="58" spans="1:9" ht="16" x14ac:dyDescent="0.2">
      <c r="A58" s="13" t="str">
        <f>'01 Product Master'!A58</f>
        <v>SN-0057</v>
      </c>
      <c r="B58" s="13" t="str">
        <f>'01 Product Master'!C58</f>
        <v>KOKITA Bumbu Inti A</v>
      </c>
      <c r="C58" s="13" t="str">
        <f>'01 Product Master'!E58</f>
        <v>350 gr</v>
      </c>
      <c r="D58" s="16">
        <f>'01 Product Master'!G58</f>
        <v>765</v>
      </c>
      <c r="E58" s="16">
        <f>'01 Product Master'!H58</f>
        <v>699</v>
      </c>
      <c r="F58" s="16">
        <f>'01 Product Master'!I58</f>
        <v>1000</v>
      </c>
      <c r="G58" s="16">
        <f>'01 Product Master'!J58</f>
        <v>821</v>
      </c>
      <c r="H58" s="16">
        <f>'01 Product Master'!K58</f>
        <v>820</v>
      </c>
      <c r="I58" s="13"/>
    </row>
    <row r="59" spans="1:9" ht="16" x14ac:dyDescent="0.2">
      <c r="A59" s="13" t="str">
        <f>'01 Product Master'!A59</f>
        <v>SN-0058</v>
      </c>
      <c r="B59" s="13" t="str">
        <f>'01 Product Master'!C59</f>
        <v>KOKITA Bumbu Inti B</v>
      </c>
      <c r="C59" s="13" t="str">
        <f>'01 Product Master'!E59</f>
        <v>351 gr</v>
      </c>
      <c r="D59" s="16">
        <f>'01 Product Master'!G59</f>
        <v>765</v>
      </c>
      <c r="E59" s="16">
        <f>'01 Product Master'!H59</f>
        <v>699</v>
      </c>
      <c r="F59" s="16">
        <f>'01 Product Master'!I59</f>
        <v>1000</v>
      </c>
      <c r="G59" s="16">
        <f>'01 Product Master'!J59</f>
        <v>821</v>
      </c>
      <c r="H59" s="16">
        <f>'01 Product Master'!K59</f>
        <v>820</v>
      </c>
      <c r="I59" s="13"/>
    </row>
    <row r="60" spans="1:9" ht="16" x14ac:dyDescent="0.2">
      <c r="A60" s="13" t="str">
        <f>'01 Product Master'!A60</f>
        <v>SN-0059</v>
      </c>
      <c r="B60" s="13" t="str">
        <f>'01 Product Master'!C60</f>
        <v>KOKITA Bumbu Inti C</v>
      </c>
      <c r="C60" s="13" t="str">
        <f>'01 Product Master'!E60</f>
        <v>352 gr</v>
      </c>
      <c r="D60" s="16">
        <f>'01 Product Master'!G60</f>
        <v>765</v>
      </c>
      <c r="E60" s="16">
        <f>'01 Product Master'!H60</f>
        <v>699</v>
      </c>
      <c r="F60" s="16">
        <f>'01 Product Master'!I60</f>
        <v>1000</v>
      </c>
      <c r="G60" s="16">
        <f>'01 Product Master'!J60</f>
        <v>821</v>
      </c>
      <c r="H60" s="16">
        <f>'01 Product Master'!K60</f>
        <v>820</v>
      </c>
      <c r="I60" s="13"/>
    </row>
    <row r="61" spans="1:9" ht="16" x14ac:dyDescent="0.2">
      <c r="A61" s="13" t="str">
        <f>'01 Product Master'!A61</f>
        <v>SN-0060</v>
      </c>
      <c r="B61" s="13" t="str">
        <f>'01 Product Master'!C61</f>
        <v>KOKITA Bumbu Inti D</v>
      </c>
      <c r="C61" s="13" t="str">
        <f>'01 Product Master'!E61</f>
        <v>353 gr</v>
      </c>
      <c r="D61" s="16">
        <f>'01 Product Master'!G61</f>
        <v>765</v>
      </c>
      <c r="E61" s="16">
        <f>'01 Product Master'!H61</f>
        <v>699</v>
      </c>
      <c r="F61" s="16">
        <f>'01 Product Master'!I61</f>
        <v>1000</v>
      </c>
      <c r="G61" s="16">
        <f>'01 Product Master'!J61</f>
        <v>821</v>
      </c>
      <c r="H61" s="16">
        <f>'01 Product Master'!K61</f>
        <v>820</v>
      </c>
      <c r="I61" s="13"/>
    </row>
    <row r="62" spans="1:9" ht="16" x14ac:dyDescent="0.2">
      <c r="A62" s="13" t="str">
        <f>'01 Product Master'!A62</f>
        <v>SN-0061</v>
      </c>
      <c r="B62" s="13" t="str">
        <f>'01 Product Master'!C62</f>
        <v>Antaka Balado</v>
      </c>
      <c r="C62" s="13" t="str">
        <f>'01 Product Master'!E62</f>
        <v>1 pcs</v>
      </c>
      <c r="D62" s="16">
        <f>'01 Product Master'!G62</f>
        <v>400</v>
      </c>
      <c r="E62" s="16">
        <f>'01 Product Master'!H62</f>
        <v>550</v>
      </c>
      <c r="F62" s="16">
        <f>'01 Product Master'!I62</f>
        <v>0</v>
      </c>
      <c r="G62" s="16">
        <f>'01 Product Master'!J62</f>
        <v>475</v>
      </c>
      <c r="H62" s="16">
        <f>'01 Product Master'!K62</f>
        <v>480</v>
      </c>
      <c r="I62" s="13"/>
    </row>
    <row r="63" spans="1:9" ht="16" x14ac:dyDescent="0.2">
      <c r="A63" s="13" t="str">
        <f>'01 Product Master'!A63</f>
        <v>SN-0062</v>
      </c>
      <c r="B63" s="13" t="str">
        <f>'01 Product Master'!C63</f>
        <v>Bamboe Ayam Goreng</v>
      </c>
      <c r="C63" s="13" t="str">
        <f>'01 Product Master'!E63</f>
        <v>1 pcs</v>
      </c>
      <c r="D63" s="16">
        <f>'01 Product Master'!G63</f>
        <v>200</v>
      </c>
      <c r="E63" s="16">
        <f>'01 Product Master'!H63</f>
        <v>170</v>
      </c>
      <c r="F63" s="16">
        <f>'01 Product Master'!I63</f>
        <v>150</v>
      </c>
      <c r="G63" s="16">
        <f>'01 Product Master'!J63</f>
        <v>173</v>
      </c>
      <c r="H63" s="16">
        <f>'01 Product Master'!K63</f>
        <v>170</v>
      </c>
      <c r="I63" s="13"/>
    </row>
    <row r="64" spans="1:9" ht="16" x14ac:dyDescent="0.2">
      <c r="A64" s="13" t="str">
        <f>'01 Product Master'!A64</f>
        <v>SN-0063</v>
      </c>
      <c r="B64" s="13" t="str">
        <f>'01 Product Master'!C64</f>
        <v>Bamboe Ayam Bakar Rujak</v>
      </c>
      <c r="C64" s="13" t="str">
        <f>'01 Product Master'!E64</f>
        <v>1 pcs</v>
      </c>
      <c r="D64" s="16">
        <f>'01 Product Master'!G64</f>
        <v>200</v>
      </c>
      <c r="E64" s="16">
        <f>'01 Product Master'!H64</f>
        <v>165</v>
      </c>
      <c r="F64" s="16">
        <f>'01 Product Master'!I64</f>
        <v>150</v>
      </c>
      <c r="G64" s="16">
        <f>'01 Product Master'!J64</f>
        <v>172</v>
      </c>
      <c r="H64" s="16">
        <f>'01 Product Master'!K64</f>
        <v>170</v>
      </c>
      <c r="I64" s="13"/>
    </row>
    <row r="65" spans="1:9" ht="16" x14ac:dyDescent="0.2">
      <c r="A65" s="13" t="str">
        <f>'01 Product Master'!A65</f>
        <v>SN-0064</v>
      </c>
      <c r="B65" s="13" t="str">
        <f>'01 Product Master'!C65</f>
        <v>Racik Rendang</v>
      </c>
      <c r="C65" s="13" t="str">
        <f>'01 Product Master'!E65</f>
        <v>1 pcs</v>
      </c>
      <c r="D65" s="16">
        <f>'01 Product Master'!G65</f>
        <v>0</v>
      </c>
      <c r="E65" s="16">
        <f>'01 Product Master'!H65</f>
        <v>0</v>
      </c>
      <c r="F65" s="16">
        <f>'01 Product Master'!I65</f>
        <v>0</v>
      </c>
      <c r="G65" s="16" t="str">
        <f>'01 Product Master'!J65</f>
        <v/>
      </c>
      <c r="H65" s="16" t="str">
        <f>'01 Product Master'!K65</f>
        <v/>
      </c>
      <c r="I65" s="13"/>
    </row>
    <row r="66" spans="1:9" ht="16" x14ac:dyDescent="0.2">
      <c r="A66" s="13" t="str">
        <f>'01 Product Master'!A66</f>
        <v>SN-0065</v>
      </c>
      <c r="B66" s="13" t="str">
        <f>'01 Product Master'!C66</f>
        <v>Racik Ayam Goreng Rempah</v>
      </c>
      <c r="C66" s="13" t="str">
        <f>'01 Product Master'!E66</f>
        <v>1 pcs</v>
      </c>
      <c r="D66" s="16">
        <f>'01 Product Master'!G66</f>
        <v>0</v>
      </c>
      <c r="E66" s="16">
        <f>'01 Product Master'!H66</f>
        <v>0</v>
      </c>
      <c r="F66" s="16">
        <f>'01 Product Master'!I66</f>
        <v>0</v>
      </c>
      <c r="G66" s="16" t="str">
        <f>'01 Product Master'!J66</f>
        <v/>
      </c>
      <c r="H66" s="16" t="str">
        <f>'01 Product Master'!K66</f>
        <v/>
      </c>
      <c r="I66" s="13"/>
    </row>
    <row r="67" spans="1:9" ht="16" x14ac:dyDescent="0.2">
      <c r="A67" s="13" t="str">
        <f>'01 Product Master'!A67</f>
        <v>SN-0066</v>
      </c>
      <c r="B67" s="13" t="str">
        <f>'01 Product Master'!C67</f>
        <v>Bamboe Ayam Kecap</v>
      </c>
      <c r="C67" s="13" t="str">
        <f>'01 Product Master'!E67</f>
        <v>1 pcs</v>
      </c>
      <c r="D67" s="16">
        <f>'01 Product Master'!G67</f>
        <v>200</v>
      </c>
      <c r="E67" s="16">
        <f>'01 Product Master'!H67</f>
        <v>170</v>
      </c>
      <c r="F67" s="16">
        <f>'01 Product Master'!I67</f>
        <v>150</v>
      </c>
      <c r="G67" s="16">
        <f>'01 Product Master'!J67</f>
        <v>173</v>
      </c>
      <c r="H67" s="16">
        <f>'01 Product Master'!K67</f>
        <v>170</v>
      </c>
      <c r="I67" s="13"/>
    </row>
    <row r="68" spans="1:9" ht="16" x14ac:dyDescent="0.2">
      <c r="A68" s="13" t="str">
        <f>'01 Product Master'!A68</f>
        <v>SN-0067</v>
      </c>
      <c r="B68" s="13" t="str">
        <f>'01 Product Master'!C68</f>
        <v>Bamboe Rica-Rica</v>
      </c>
      <c r="C68" s="13" t="str">
        <f>'01 Product Master'!E68</f>
        <v>1 pcs</v>
      </c>
      <c r="D68" s="16">
        <f>'01 Product Master'!G68</f>
        <v>200</v>
      </c>
      <c r="E68" s="16">
        <f>'01 Product Master'!H68</f>
        <v>170</v>
      </c>
      <c r="F68" s="16">
        <f>'01 Product Master'!I68</f>
        <v>150</v>
      </c>
      <c r="G68" s="16">
        <f>'01 Product Master'!J68</f>
        <v>173</v>
      </c>
      <c r="H68" s="16">
        <f>'01 Product Master'!K68</f>
        <v>170</v>
      </c>
      <c r="I68" s="13"/>
    </row>
    <row r="69" spans="1:9" ht="16" x14ac:dyDescent="0.2">
      <c r="A69" s="13" t="str">
        <f>'01 Product Master'!A69</f>
        <v>SN-0068</v>
      </c>
      <c r="B69" s="13" t="str">
        <f>'01 Product Master'!C69</f>
        <v>Kobe Nasi Uduk</v>
      </c>
      <c r="C69" s="13" t="str">
        <f>'01 Product Master'!E69</f>
        <v>3 pcs</v>
      </c>
      <c r="D69" s="16">
        <f>'01 Product Master'!G69</f>
        <v>430</v>
      </c>
      <c r="E69" s="16">
        <f>'01 Product Master'!H69</f>
        <v>0</v>
      </c>
      <c r="F69" s="16">
        <f>'01 Product Master'!I69</f>
        <v>500</v>
      </c>
      <c r="G69" s="16">
        <f>'01 Product Master'!J69</f>
        <v>465</v>
      </c>
      <c r="H69" s="16">
        <f>'01 Product Master'!K69</f>
        <v>470</v>
      </c>
      <c r="I69" s="13"/>
    </row>
    <row r="70" spans="1:9" ht="16" x14ac:dyDescent="0.2">
      <c r="A70" s="13" t="str">
        <f>'01 Product Master'!A70</f>
        <v>SN-0069</v>
      </c>
      <c r="B70" s="13" t="str">
        <f>'01 Product Master'!C70</f>
        <v>Kobe Rendang</v>
      </c>
      <c r="C70" s="13" t="str">
        <f>'01 Product Master'!E70</f>
        <v>3 pcs</v>
      </c>
      <c r="D70" s="16">
        <f>'01 Product Master'!G70</f>
        <v>430</v>
      </c>
      <c r="E70" s="16">
        <f>'01 Product Master'!H70</f>
        <v>0</v>
      </c>
      <c r="F70" s="16">
        <f>'01 Product Master'!I70</f>
        <v>500</v>
      </c>
      <c r="G70" s="16">
        <f>'01 Product Master'!J70</f>
        <v>465</v>
      </c>
      <c r="H70" s="16">
        <f>'01 Product Master'!K70</f>
        <v>470</v>
      </c>
      <c r="I70" s="13"/>
    </row>
    <row r="71" spans="1:9" ht="16" x14ac:dyDescent="0.2">
      <c r="A71" s="13" t="str">
        <f>'01 Product Master'!A71</f>
        <v>SN-0070</v>
      </c>
      <c r="B71" s="13" t="str">
        <f>'01 Product Master'!C71</f>
        <v>Kobe Nasi Kuning</v>
      </c>
      <c r="C71" s="13" t="str">
        <f>'01 Product Master'!E71</f>
        <v>3 pcs</v>
      </c>
      <c r="D71" s="16">
        <f>'01 Product Master'!G71</f>
        <v>430</v>
      </c>
      <c r="E71" s="16">
        <f>'01 Product Master'!H71</f>
        <v>375</v>
      </c>
      <c r="F71" s="16">
        <f>'01 Product Master'!I71</f>
        <v>500</v>
      </c>
      <c r="G71" s="16">
        <f>'01 Product Master'!J71</f>
        <v>435</v>
      </c>
      <c r="H71" s="16">
        <f>'01 Product Master'!K71</f>
        <v>440</v>
      </c>
      <c r="I71" s="13"/>
    </row>
    <row r="72" spans="1:9" ht="16" x14ac:dyDescent="0.2">
      <c r="A72" s="13" t="str">
        <f>'01 Product Master'!A72</f>
        <v>SN-0071</v>
      </c>
      <c r="B72" s="13" t="str">
        <f>'01 Product Master'!C72</f>
        <v>Totole Kaldu Jamur</v>
      </c>
      <c r="C72" s="13" t="str">
        <f>'01 Product Master'!E72</f>
        <v>40 gr</v>
      </c>
      <c r="D72" s="16">
        <f>'01 Product Master'!G72</f>
        <v>300</v>
      </c>
      <c r="E72" s="16">
        <f>'01 Product Master'!H72</f>
        <v>0</v>
      </c>
      <c r="F72" s="16">
        <f>'01 Product Master'!I72</f>
        <v>500</v>
      </c>
      <c r="G72" s="16">
        <f>'01 Product Master'!J72</f>
        <v>400</v>
      </c>
      <c r="H72" s="16">
        <f>'01 Product Master'!K72</f>
        <v>400</v>
      </c>
      <c r="I72" s="13"/>
    </row>
    <row r="73" spans="1:9" ht="16" x14ac:dyDescent="0.2">
      <c r="A73" s="13" t="str">
        <f>'01 Product Master'!A73</f>
        <v>SN-0072</v>
      </c>
      <c r="B73" s="13" t="str">
        <f>'01 Product Master'!C73</f>
        <v>Desaku Bawang Putih Renceng</v>
      </c>
      <c r="C73" s="13" t="str">
        <f>'01 Product Master'!E73</f>
        <v>12 sachet</v>
      </c>
      <c r="D73" s="16">
        <f>'01 Product Master'!G73</f>
        <v>700</v>
      </c>
      <c r="E73" s="16">
        <f>'01 Product Master'!H73</f>
        <v>1050</v>
      </c>
      <c r="F73" s="16">
        <f>'01 Product Master'!I73</f>
        <v>1200</v>
      </c>
      <c r="G73" s="16">
        <f>'01 Product Master'!J73</f>
        <v>983</v>
      </c>
      <c r="H73" s="16">
        <f>'01 Product Master'!K73</f>
        <v>980</v>
      </c>
      <c r="I73" s="13"/>
    </row>
    <row r="74" spans="1:9" ht="16" x14ac:dyDescent="0.2">
      <c r="A74" s="13" t="str">
        <f>'01 Product Master'!A74</f>
        <v>SN-0073</v>
      </c>
      <c r="B74" s="13" t="str">
        <f>'01 Product Master'!C74</f>
        <v>Desaku Ketumbar Renceng</v>
      </c>
      <c r="C74" s="13" t="str">
        <f>'01 Product Master'!E74</f>
        <v>13 sachet</v>
      </c>
      <c r="D74" s="16">
        <f>'01 Product Master'!G74</f>
        <v>700</v>
      </c>
      <c r="E74" s="16">
        <f>'01 Product Master'!H74</f>
        <v>1050</v>
      </c>
      <c r="F74" s="16">
        <f>'01 Product Master'!I74</f>
        <v>1200</v>
      </c>
      <c r="G74" s="16">
        <f>'01 Product Master'!J74</f>
        <v>983</v>
      </c>
      <c r="H74" s="16">
        <f>'01 Product Master'!K74</f>
        <v>980</v>
      </c>
      <c r="I74" s="13"/>
    </row>
    <row r="75" spans="1:9" ht="16" x14ac:dyDescent="0.2">
      <c r="A75" s="13" t="str">
        <f>'01 Product Master'!A75</f>
        <v>SN-0074</v>
      </c>
      <c r="B75" s="13" t="str">
        <f>'01 Product Master'!C75</f>
        <v>Desaku Marinasi Renceng</v>
      </c>
      <c r="C75" s="13" t="str">
        <f>'01 Product Master'!E75</f>
        <v>14 sachet</v>
      </c>
      <c r="D75" s="16">
        <f>'01 Product Master'!G75</f>
        <v>700</v>
      </c>
      <c r="E75" s="16">
        <f>'01 Product Master'!H75</f>
        <v>1050</v>
      </c>
      <c r="F75" s="16">
        <f>'01 Product Master'!I75</f>
        <v>1200</v>
      </c>
      <c r="G75" s="16">
        <f>'01 Product Master'!J75</f>
        <v>983</v>
      </c>
      <c r="H75" s="16">
        <f>'01 Product Master'!K75</f>
        <v>980</v>
      </c>
      <c r="I75" s="13"/>
    </row>
    <row r="76" spans="1:9" ht="16" x14ac:dyDescent="0.2">
      <c r="A76" s="13" t="str">
        <f>'01 Product Master'!A76</f>
        <v>SN-0075</v>
      </c>
      <c r="B76" s="13" t="str">
        <f>'01 Product Master'!C76</f>
        <v>Desaku Merica Bubuk Renceng</v>
      </c>
      <c r="C76" s="13" t="str">
        <f>'01 Product Master'!E76</f>
        <v>15 sachet</v>
      </c>
      <c r="D76" s="16">
        <f>'01 Product Master'!G76</f>
        <v>700</v>
      </c>
      <c r="E76" s="16">
        <f>'01 Product Master'!H76</f>
        <v>1050</v>
      </c>
      <c r="F76" s="16">
        <f>'01 Product Master'!I76</f>
        <v>1200</v>
      </c>
      <c r="G76" s="16">
        <f>'01 Product Master'!J76</f>
        <v>983</v>
      </c>
      <c r="H76" s="16">
        <f>'01 Product Master'!K76</f>
        <v>980</v>
      </c>
      <c r="I76" s="13"/>
    </row>
    <row r="77" spans="1:9" ht="16" x14ac:dyDescent="0.2">
      <c r="A77" s="13" t="str">
        <f>'01 Product Master'!A77</f>
        <v>SN-0076</v>
      </c>
      <c r="B77" s="13" t="str">
        <f>'01 Product Master'!C77</f>
        <v>Desaku Kunyit Bubuk Renceng</v>
      </c>
      <c r="C77" s="13" t="str">
        <f>'01 Product Master'!E77</f>
        <v>16 sachet</v>
      </c>
      <c r="D77" s="16">
        <f>'01 Product Master'!G77</f>
        <v>700</v>
      </c>
      <c r="E77" s="16">
        <f>'01 Product Master'!H77</f>
        <v>1050</v>
      </c>
      <c r="F77" s="16">
        <f>'01 Product Master'!I77</f>
        <v>1200</v>
      </c>
      <c r="G77" s="16">
        <f>'01 Product Master'!J77</f>
        <v>983</v>
      </c>
      <c r="H77" s="16">
        <f>'01 Product Master'!K77</f>
        <v>980</v>
      </c>
      <c r="I77" s="13"/>
    </row>
    <row r="78" spans="1:9" ht="16" x14ac:dyDescent="0.2">
      <c r="A78" s="13" t="str">
        <f>'01 Product Master'!A78</f>
        <v>SN-0077</v>
      </c>
      <c r="B78" s="13" t="str">
        <f>'01 Product Master'!C78</f>
        <v>Royco Kuah Bakso</v>
      </c>
      <c r="C78" s="13" t="str">
        <f>'01 Product Master'!E78</f>
        <v>100 gr</v>
      </c>
      <c r="D78" s="16">
        <f>'01 Product Master'!G78</f>
        <v>450</v>
      </c>
      <c r="E78" s="16">
        <f>'01 Product Master'!H78</f>
        <v>480</v>
      </c>
      <c r="F78" s="16">
        <f>'01 Product Master'!I78</f>
        <v>500</v>
      </c>
      <c r="G78" s="16">
        <f>'01 Product Master'!J78</f>
        <v>477</v>
      </c>
      <c r="H78" s="16">
        <f>'01 Product Master'!K78</f>
        <v>480</v>
      </c>
      <c r="I78" s="13"/>
    </row>
    <row r="79" spans="1:9" ht="16" x14ac:dyDescent="0.2">
      <c r="A79" s="13" t="str">
        <f>'01 Product Master'!A79</f>
        <v>SN-0078</v>
      </c>
      <c r="B79" s="13" t="str">
        <f>'01 Product Master'!C79</f>
        <v>Royco Sapi Besar</v>
      </c>
      <c r="C79" s="13" t="str">
        <f>'01 Product Master'!E79</f>
        <v>94 gr</v>
      </c>
      <c r="D79" s="16">
        <f>'01 Product Master'!G79</f>
        <v>450</v>
      </c>
      <c r="E79" s="16">
        <f>'01 Product Master'!H79</f>
        <v>480</v>
      </c>
      <c r="F79" s="16">
        <f>'01 Product Master'!I79</f>
        <v>500</v>
      </c>
      <c r="G79" s="16">
        <f>'01 Product Master'!J79</f>
        <v>477</v>
      </c>
      <c r="H79" s="16">
        <f>'01 Product Master'!K79</f>
        <v>480</v>
      </c>
      <c r="I79" s="13"/>
    </row>
    <row r="80" spans="1:9" ht="16" x14ac:dyDescent="0.2">
      <c r="A80" s="13" t="str">
        <f>'01 Product Master'!A80</f>
        <v>SN-0079</v>
      </c>
      <c r="B80" s="13" t="str">
        <f>'01 Product Master'!C80</f>
        <v>Royco Ayam Besar</v>
      </c>
      <c r="C80" s="13" t="str">
        <f>'01 Product Master'!E80</f>
        <v>95 gr</v>
      </c>
      <c r="D80" s="16">
        <f>'01 Product Master'!G80</f>
        <v>450</v>
      </c>
      <c r="E80" s="16">
        <f>'01 Product Master'!H80</f>
        <v>480</v>
      </c>
      <c r="F80" s="16">
        <f>'01 Product Master'!I80</f>
        <v>500</v>
      </c>
      <c r="G80" s="16">
        <f>'01 Product Master'!J80</f>
        <v>477</v>
      </c>
      <c r="H80" s="16">
        <f>'01 Product Master'!K80</f>
        <v>480</v>
      </c>
      <c r="I80" s="13"/>
    </row>
    <row r="81" spans="1:9" ht="16" x14ac:dyDescent="0.2">
      <c r="A81" s="13" t="str">
        <f>'01 Product Master'!A81</f>
        <v>SN-0080</v>
      </c>
      <c r="B81" s="13" t="str">
        <f>'01 Product Master'!C81</f>
        <v>Masako Ayam Besar</v>
      </c>
      <c r="C81" s="13" t="str">
        <f>'01 Product Master'!E81</f>
        <v>100 gr</v>
      </c>
      <c r="D81" s="16">
        <f>'01 Product Master'!G81</f>
        <v>450</v>
      </c>
      <c r="E81" s="16">
        <f>'01 Product Master'!H81</f>
        <v>450</v>
      </c>
      <c r="F81" s="16">
        <f>'01 Product Master'!I81</f>
        <v>500</v>
      </c>
      <c r="G81" s="16">
        <f>'01 Product Master'!J81</f>
        <v>467</v>
      </c>
      <c r="H81" s="16">
        <f>'01 Product Master'!K81</f>
        <v>470</v>
      </c>
      <c r="I81" s="13"/>
    </row>
    <row r="82" spans="1:9" ht="16" x14ac:dyDescent="0.2">
      <c r="A82" s="13" t="str">
        <f>'01 Product Master'!A82</f>
        <v>SN-0081</v>
      </c>
      <c r="B82" s="13" t="str">
        <f>'01 Product Master'!C82</f>
        <v>Masako Sapi Besar</v>
      </c>
      <c r="C82" s="13" t="str">
        <f>'01 Product Master'!E82</f>
        <v>101 gr</v>
      </c>
      <c r="D82" s="16">
        <f>'01 Product Master'!G82</f>
        <v>450</v>
      </c>
      <c r="E82" s="16">
        <f>'01 Product Master'!H82</f>
        <v>450</v>
      </c>
      <c r="F82" s="16">
        <f>'01 Product Master'!I82</f>
        <v>500</v>
      </c>
      <c r="G82" s="16">
        <f>'01 Product Master'!J82</f>
        <v>467</v>
      </c>
      <c r="H82" s="16">
        <f>'01 Product Master'!K82</f>
        <v>470</v>
      </c>
      <c r="I82" s="13"/>
    </row>
    <row r="83" spans="1:9" ht="16" x14ac:dyDescent="0.2">
      <c r="A83" s="13" t="str">
        <f>'01 Product Master'!A83</f>
        <v>SN-0082</v>
      </c>
      <c r="B83" s="13" t="str">
        <f>'01 Product Master'!C83</f>
        <v>Sasa Tepung Serbaguna Original</v>
      </c>
      <c r="C83" s="13" t="str">
        <f>'01 Product Master'!E83</f>
        <v>210 gr</v>
      </c>
      <c r="D83" s="16">
        <f>'01 Product Master'!G83</f>
        <v>480</v>
      </c>
      <c r="E83" s="16">
        <f>'01 Product Master'!H83</f>
        <v>375</v>
      </c>
      <c r="F83" s="16">
        <f>'01 Product Master'!I83</f>
        <v>380</v>
      </c>
      <c r="G83" s="16">
        <f>'01 Product Master'!J83</f>
        <v>412</v>
      </c>
      <c r="H83" s="16">
        <f>'01 Product Master'!K83</f>
        <v>410</v>
      </c>
      <c r="I83" s="13"/>
    </row>
    <row r="84" spans="1:9" ht="16" x14ac:dyDescent="0.2">
      <c r="A84" s="13" t="str">
        <f>'01 Product Master'!A84</f>
        <v>SN-0083</v>
      </c>
      <c r="B84" s="13" t="str">
        <f>'01 Product Master'!C84</f>
        <v>Sasa Tepung Serbaguna Hot &amp; Spicy</v>
      </c>
      <c r="C84" s="13" t="str">
        <f>'01 Product Master'!E84</f>
        <v>210 gr</v>
      </c>
      <c r="D84" s="16">
        <f>'01 Product Master'!G84</f>
        <v>480</v>
      </c>
      <c r="E84" s="16">
        <f>'01 Product Master'!H84</f>
        <v>375</v>
      </c>
      <c r="F84" s="16">
        <f>'01 Product Master'!I84</f>
        <v>380</v>
      </c>
      <c r="G84" s="16">
        <f>'01 Product Master'!J84</f>
        <v>412</v>
      </c>
      <c r="H84" s="16">
        <f>'01 Product Master'!K84</f>
        <v>410</v>
      </c>
      <c r="I84" s="13"/>
    </row>
    <row r="85" spans="1:9" ht="16" x14ac:dyDescent="0.2">
      <c r="A85" s="13" t="str">
        <f>'01 Product Master'!A85</f>
        <v>SN-0084</v>
      </c>
      <c r="B85" s="13" t="str">
        <f>'01 Product Master'!C85</f>
        <v>Royco Ayam Besar</v>
      </c>
      <c r="C85" s="13">
        <f>'01 Product Master'!E85</f>
        <v>0</v>
      </c>
      <c r="D85" s="16">
        <f>'01 Product Master'!G85</f>
        <v>0</v>
      </c>
      <c r="E85" s="16">
        <f>'01 Product Master'!H85</f>
        <v>0</v>
      </c>
      <c r="F85" s="16">
        <f>'01 Product Master'!I85</f>
        <v>0</v>
      </c>
      <c r="G85" s="16">
        <f>'01 Product Master'!J85</f>
        <v>0</v>
      </c>
      <c r="H85" s="16" t="str">
        <f>'01 Product Master'!K85</f>
        <v/>
      </c>
      <c r="I85" s="13"/>
    </row>
    <row r="86" spans="1:9" ht="16" x14ac:dyDescent="0.2">
      <c r="A86" s="13" t="str">
        <f>'01 Product Master'!A86</f>
        <v>SN-0085</v>
      </c>
      <c r="B86" s="13" t="str">
        <f>'01 Product Master'!C86</f>
        <v>Sasa MSG</v>
      </c>
      <c r="C86" s="13">
        <f>'01 Product Master'!E86</f>
        <v>0</v>
      </c>
      <c r="D86" s="16">
        <f>'01 Product Master'!G86</f>
        <v>0</v>
      </c>
      <c r="E86" s="16">
        <f>'01 Product Master'!H86</f>
        <v>0</v>
      </c>
      <c r="F86" s="16">
        <f>'01 Product Master'!I86</f>
        <v>0</v>
      </c>
      <c r="G86" s="16" t="str">
        <f>'01 Product Master'!J86</f>
        <v/>
      </c>
      <c r="H86" s="16" t="str">
        <f>'01 Product Master'!K86</f>
        <v/>
      </c>
      <c r="I86" s="13"/>
    </row>
    <row r="87" spans="1:9" ht="16" x14ac:dyDescent="0.2">
      <c r="A87" s="13" t="str">
        <f>'01 Product Master'!A87</f>
        <v>SN-0086</v>
      </c>
      <c r="B87" s="13" t="str">
        <f>'01 Product Master'!C87</f>
        <v>Garam</v>
      </c>
      <c r="C87" s="13">
        <f>'01 Product Master'!E87</f>
        <v>0</v>
      </c>
      <c r="D87" s="16">
        <f>'01 Product Master'!G87</f>
        <v>0</v>
      </c>
      <c r="E87" s="16">
        <f>'01 Product Master'!H87</f>
        <v>0</v>
      </c>
      <c r="F87" s="16">
        <f>'01 Product Master'!I87</f>
        <v>0</v>
      </c>
      <c r="G87" s="16" t="str">
        <f>'01 Product Master'!J87</f>
        <v/>
      </c>
      <c r="H87" s="16" t="str">
        <f>'01 Product Master'!K87</f>
        <v/>
      </c>
      <c r="I87" s="13"/>
    </row>
    <row r="88" spans="1:9" ht="16" x14ac:dyDescent="0.2">
      <c r="A88" s="13" t="str">
        <f>'01 Product Master'!A88</f>
        <v>SN-0087</v>
      </c>
      <c r="B88" s="13" t="str">
        <f>'01 Product Master'!C88</f>
        <v>Baking Powder</v>
      </c>
      <c r="C88" s="13" t="str">
        <f>'01 Product Master'!E88</f>
        <v>45 gr</v>
      </c>
      <c r="D88" s="16">
        <f>'01 Product Master'!G88</f>
        <v>450</v>
      </c>
      <c r="E88" s="16">
        <f>'01 Product Master'!H88</f>
        <v>400</v>
      </c>
      <c r="F88" s="16">
        <f>'01 Product Master'!I88</f>
        <v>400</v>
      </c>
      <c r="G88" s="16">
        <f>'01 Product Master'!J88</f>
        <v>417</v>
      </c>
      <c r="H88" s="16">
        <f>'01 Product Master'!K88</f>
        <v>420</v>
      </c>
      <c r="I88" s="13"/>
    </row>
    <row r="89" spans="1:9" ht="16" x14ac:dyDescent="0.2">
      <c r="A89" s="13" t="str">
        <f>'01 Product Master'!A89</f>
        <v>SN-0088</v>
      </c>
      <c r="B89" s="13" t="str">
        <f>'01 Product Master'!C89</f>
        <v>Koepoe Vanila</v>
      </c>
      <c r="C89" s="13" t="str">
        <f>'01 Product Master'!E89</f>
        <v>20 gr</v>
      </c>
      <c r="D89" s="16">
        <f>'01 Product Master'!G89</f>
        <v>350</v>
      </c>
      <c r="E89" s="16">
        <f>'01 Product Master'!H89</f>
        <v>0</v>
      </c>
      <c r="F89" s="16">
        <f>'01 Product Master'!I89</f>
        <v>400</v>
      </c>
      <c r="G89" s="16">
        <f>'01 Product Master'!J89</f>
        <v>375</v>
      </c>
      <c r="H89" s="16">
        <f>'01 Product Master'!K89</f>
        <v>380</v>
      </c>
      <c r="I89" s="13"/>
    </row>
    <row r="90" spans="1:9" ht="16" x14ac:dyDescent="0.2">
      <c r="A90" s="13" t="str">
        <f>'01 Product Master'!A90</f>
        <v>SN-0089</v>
      </c>
      <c r="B90" s="13" t="str">
        <f>'01 Product Master'!C90</f>
        <v>Ragi</v>
      </c>
      <c r="C90" s="13">
        <f>'01 Product Master'!E90</f>
        <v>0</v>
      </c>
      <c r="D90" s="16">
        <f>'01 Product Master'!G90</f>
        <v>0</v>
      </c>
      <c r="E90" s="16">
        <f>'01 Product Master'!H90</f>
        <v>0</v>
      </c>
      <c r="F90" s="16">
        <f>'01 Product Master'!I90</f>
        <v>0</v>
      </c>
      <c r="G90" s="16" t="str">
        <f>'01 Product Master'!J90</f>
        <v/>
      </c>
      <c r="H90" s="16" t="str">
        <f>'01 Product Master'!K90</f>
        <v/>
      </c>
      <c r="I90" s="13"/>
    </row>
    <row r="91" spans="1:9" ht="16" x14ac:dyDescent="0.2">
      <c r="A91" s="13" t="str">
        <f>'01 Product Master'!A91</f>
        <v>SN-0090</v>
      </c>
      <c r="B91" s="13" t="str">
        <f>'01 Product Master'!C91</f>
        <v>TBM</v>
      </c>
      <c r="C91" s="13" t="str">
        <f>'01 Product Master'!E91</f>
        <v>35 gr</v>
      </c>
      <c r="D91" s="16">
        <f>'01 Product Master'!G91</f>
        <v>390</v>
      </c>
      <c r="E91" s="16">
        <f>'01 Product Master'!H91</f>
        <v>395</v>
      </c>
      <c r="F91" s="16">
        <f>'01 Product Master'!I91</f>
        <v>400</v>
      </c>
      <c r="G91" s="16">
        <f>'01 Product Master'!J91</f>
        <v>395</v>
      </c>
      <c r="H91" s="16">
        <f>'01 Product Master'!K91</f>
        <v>400</v>
      </c>
      <c r="I91" s="13"/>
    </row>
    <row r="92" spans="1:9" ht="16" x14ac:dyDescent="0.2">
      <c r="A92" s="13" t="str">
        <f>'01 Product Master'!A92</f>
        <v>SN-0091</v>
      </c>
      <c r="B92" s="13" t="str">
        <f>'01 Product Master'!C92</f>
        <v>Pewarna Pandan</v>
      </c>
      <c r="C92" s="13" t="str">
        <f>'01 Product Master'!E92</f>
        <v>25 ml</v>
      </c>
      <c r="D92" s="16">
        <f>'01 Product Master'!G92</f>
        <v>380</v>
      </c>
      <c r="E92" s="16">
        <f>'01 Product Master'!H92</f>
        <v>0</v>
      </c>
      <c r="F92" s="16">
        <f>'01 Product Master'!I92</f>
        <v>0</v>
      </c>
      <c r="G92" s="16">
        <f>'01 Product Master'!J92</f>
        <v>380</v>
      </c>
      <c r="H92" s="16">
        <f>'01 Product Master'!K92</f>
        <v>380</v>
      </c>
      <c r="I92" s="13"/>
    </row>
    <row r="93" spans="1:9" ht="16" x14ac:dyDescent="0.2">
      <c r="A93" s="13" t="str">
        <f>'01 Product Master'!A93</f>
        <v>SN-0092</v>
      </c>
      <c r="B93" s="13" t="str">
        <f>'01 Product Master'!C93</f>
        <v>Soda Kue</v>
      </c>
      <c r="C93" s="13" t="str">
        <f>'01 Product Master'!E93</f>
        <v>81 gr</v>
      </c>
      <c r="D93" s="16">
        <f>'01 Product Master'!G93</f>
        <v>450</v>
      </c>
      <c r="E93" s="16">
        <f>'01 Product Master'!H93</f>
        <v>0</v>
      </c>
      <c r="F93" s="16">
        <f>'01 Product Master'!I93</f>
        <v>400</v>
      </c>
      <c r="G93" s="16">
        <f>'01 Product Master'!J93</f>
        <v>425</v>
      </c>
      <c r="H93" s="16">
        <f>'01 Product Master'!K93</f>
        <v>430</v>
      </c>
      <c r="I93" s="13"/>
    </row>
    <row r="94" spans="1:9" ht="16" x14ac:dyDescent="0.2">
      <c r="A94" s="13" t="str">
        <f>'01 Product Master'!A94</f>
        <v>SN-0093</v>
      </c>
      <c r="B94" s="13" t="str">
        <f>'01 Product Master'!C94</f>
        <v>SP</v>
      </c>
      <c r="C94" s="13" t="str">
        <f>'01 Product Master'!E94</f>
        <v>30 gr</v>
      </c>
      <c r="D94" s="16">
        <f>'01 Product Master'!G94</f>
        <v>390</v>
      </c>
      <c r="E94" s="16">
        <f>'01 Product Master'!H94</f>
        <v>0</v>
      </c>
      <c r="F94" s="16">
        <f>'01 Product Master'!I94</f>
        <v>400</v>
      </c>
      <c r="G94" s="16">
        <f>'01 Product Master'!J94</f>
        <v>395</v>
      </c>
      <c r="H94" s="16">
        <f>'01 Product Master'!K94</f>
        <v>400</v>
      </c>
      <c r="I94" s="13"/>
    </row>
    <row r="95" spans="1:9" ht="16" x14ac:dyDescent="0.2">
      <c r="A95" s="13" t="str">
        <f>'01 Product Master'!A95</f>
        <v>SN-0094</v>
      </c>
      <c r="B95" s="13" t="str">
        <f>'01 Product Master'!C95</f>
        <v>Ovalett</v>
      </c>
      <c r="C95" s="13" t="str">
        <f>'01 Product Master'!E95</f>
        <v>30 gr</v>
      </c>
      <c r="D95" s="16">
        <f>'01 Product Master'!G95</f>
        <v>0</v>
      </c>
      <c r="E95" s="16">
        <f>'01 Product Master'!H95</f>
        <v>440</v>
      </c>
      <c r="F95" s="16">
        <f>'01 Product Master'!I95</f>
        <v>400</v>
      </c>
      <c r="G95" s="16">
        <f>'01 Product Master'!J95</f>
        <v>420</v>
      </c>
      <c r="H95" s="16">
        <f>'01 Product Master'!K95</f>
        <v>420</v>
      </c>
      <c r="I95" s="13"/>
    </row>
    <row r="96" spans="1:9" ht="16" x14ac:dyDescent="0.2">
      <c r="A96" s="13" t="str">
        <f>'01 Product Master'!A96</f>
        <v>SN-0095</v>
      </c>
      <c r="B96" s="13" t="str">
        <f>'01 Product Master'!C96</f>
        <v>Ragi Tempe</v>
      </c>
      <c r="C96" s="13" t="str">
        <f>'01 Product Master'!E96</f>
        <v>500gr</v>
      </c>
      <c r="D96" s="16">
        <f>'01 Product Master'!G96</f>
        <v>0</v>
      </c>
      <c r="E96" s="16">
        <f>'01 Product Master'!H96</f>
        <v>0</v>
      </c>
      <c r="F96" s="16">
        <f>'01 Product Master'!I96</f>
        <v>0</v>
      </c>
      <c r="G96" s="16" t="str">
        <f>'01 Product Master'!J96</f>
        <v/>
      </c>
      <c r="H96" s="16" t="str">
        <f>'01 Product Master'!K96</f>
        <v/>
      </c>
      <c r="I96" s="13"/>
    </row>
    <row r="97" spans="1:9" ht="16" x14ac:dyDescent="0.2">
      <c r="A97" s="13" t="str">
        <f>'01 Product Master'!A97</f>
        <v>SN-0096</v>
      </c>
      <c r="B97" s="13" t="str">
        <f>'01 Product Master'!C97</f>
        <v>Bawang Merah</v>
      </c>
      <c r="C97" s="13" t="str">
        <f>'01 Product Master'!E97</f>
        <v>250 gr</v>
      </c>
      <c r="D97" s="16">
        <f>'01 Product Master'!G97</f>
        <v>0</v>
      </c>
      <c r="E97" s="16">
        <f>'01 Product Master'!H97</f>
        <v>0</v>
      </c>
      <c r="F97" s="16">
        <f>'01 Product Master'!I97</f>
        <v>0</v>
      </c>
      <c r="G97" s="16" t="str">
        <f>'01 Product Master'!J97</f>
        <v/>
      </c>
      <c r="H97" s="16" t="str">
        <f>'01 Product Master'!K97</f>
        <v/>
      </c>
      <c r="I97" s="13"/>
    </row>
    <row r="98" spans="1:9" ht="16" x14ac:dyDescent="0.2">
      <c r="A98" s="13" t="str">
        <f>'01 Product Master'!A98</f>
        <v>SN-0097</v>
      </c>
      <c r="B98" s="13" t="str">
        <f>'01 Product Master'!C98</f>
        <v>Bawang Putih</v>
      </c>
      <c r="C98" s="13" t="str">
        <f>'01 Product Master'!E98</f>
        <v>100 g</v>
      </c>
      <c r="D98" s="16">
        <f>'01 Product Master'!G98</f>
        <v>0</v>
      </c>
      <c r="E98" s="16">
        <f>'01 Product Master'!H98</f>
        <v>0</v>
      </c>
      <c r="F98" s="16">
        <f>'01 Product Master'!I98</f>
        <v>0</v>
      </c>
      <c r="G98" s="16" t="str">
        <f>'01 Product Master'!J98</f>
        <v/>
      </c>
      <c r="H98" s="16" t="str">
        <f>'01 Product Master'!K98</f>
        <v/>
      </c>
      <c r="I98" s="13"/>
    </row>
    <row r="99" spans="1:9" ht="16" x14ac:dyDescent="0.2">
      <c r="A99" s="13" t="str">
        <f>'01 Product Master'!A99</f>
        <v>SN-0098</v>
      </c>
      <c r="B99" s="13" t="str">
        <f>'01 Product Master'!C99</f>
        <v>Asem Jawa</v>
      </c>
      <c r="C99" s="13" t="str">
        <f>'01 Product Master'!E99</f>
        <v>100 g</v>
      </c>
      <c r="D99" s="16">
        <f>'01 Product Master'!G99</f>
        <v>0</v>
      </c>
      <c r="E99" s="16">
        <f>'01 Product Master'!H99</f>
        <v>0</v>
      </c>
      <c r="F99" s="16">
        <f>'01 Product Master'!I99</f>
        <v>0</v>
      </c>
      <c r="G99" s="16" t="str">
        <f>'01 Product Master'!J99</f>
        <v/>
      </c>
      <c r="H99" s="16" t="str">
        <f>'01 Product Master'!K99</f>
        <v/>
      </c>
      <c r="I99" s="13"/>
    </row>
    <row r="100" spans="1:9" ht="16" x14ac:dyDescent="0.2">
      <c r="A100" s="13" t="str">
        <f>'01 Product Master'!A100</f>
        <v>SN-0099</v>
      </c>
      <c r="B100" s="13" t="str">
        <f>'01 Product Master'!C100</f>
        <v>Biji Pala</v>
      </c>
      <c r="C100" s="13" t="str">
        <f>'01 Product Master'!E100</f>
        <v>100 g</v>
      </c>
      <c r="D100" s="16">
        <f>'01 Product Master'!G100</f>
        <v>0</v>
      </c>
      <c r="E100" s="16">
        <f>'01 Product Master'!H100</f>
        <v>0</v>
      </c>
      <c r="F100" s="16">
        <f>'01 Product Master'!I100</f>
        <v>0</v>
      </c>
      <c r="G100" s="16" t="str">
        <f>'01 Product Master'!J100</f>
        <v/>
      </c>
      <c r="H100" s="16" t="str">
        <f>'01 Product Master'!K100</f>
        <v/>
      </c>
      <c r="I100" s="13"/>
    </row>
    <row r="101" spans="1:9" ht="16" x14ac:dyDescent="0.2">
      <c r="A101" s="13" t="str">
        <f>'01 Product Master'!A101</f>
        <v>SN-0100</v>
      </c>
      <c r="B101" s="13" t="str">
        <f>'01 Product Master'!C101</f>
        <v>Cabe Merah Kering</v>
      </c>
      <c r="C101" s="13" t="str">
        <f>'01 Product Master'!E101</f>
        <v>200 g</v>
      </c>
      <c r="D101" s="16">
        <f>'01 Product Master'!G101</f>
        <v>0</v>
      </c>
      <c r="E101" s="16">
        <f>'01 Product Master'!H101</f>
        <v>0</v>
      </c>
      <c r="F101" s="16">
        <f>'01 Product Master'!I101</f>
        <v>0</v>
      </c>
      <c r="G101" s="16" t="str">
        <f>'01 Product Master'!J101</f>
        <v/>
      </c>
      <c r="H101" s="16" t="str">
        <f>'01 Product Master'!K101</f>
        <v/>
      </c>
      <c r="I101" s="13"/>
    </row>
    <row r="102" spans="1:9" ht="16" x14ac:dyDescent="0.2">
      <c r="A102" s="13" t="str">
        <f>'01 Product Master'!A102</f>
        <v>SN-0101</v>
      </c>
      <c r="B102" s="13" t="str">
        <f>'01 Product Master'!C102</f>
        <v xml:space="preserve">Cabe Merah Keriting </v>
      </c>
      <c r="C102" s="13" t="str">
        <f>'01 Product Master'!E102</f>
        <v>10 pcs</v>
      </c>
      <c r="D102" s="16">
        <f>'01 Product Master'!G102</f>
        <v>0</v>
      </c>
      <c r="E102" s="16">
        <f>'01 Product Master'!H102</f>
        <v>0</v>
      </c>
      <c r="F102" s="16">
        <f>'01 Product Master'!I102</f>
        <v>0</v>
      </c>
      <c r="G102" s="16" t="str">
        <f>'01 Product Master'!J102</f>
        <v/>
      </c>
      <c r="H102" s="16" t="str">
        <f>'01 Product Master'!K102</f>
        <v/>
      </c>
      <c r="I102" s="13"/>
    </row>
    <row r="103" spans="1:9" ht="16" x14ac:dyDescent="0.2">
      <c r="A103" s="13" t="str">
        <f>'01 Product Master'!A103</f>
        <v>SN-0102</v>
      </c>
      <c r="B103" s="13" t="str">
        <f>'01 Product Master'!C103</f>
        <v>Cabe Rawit Hijau</v>
      </c>
      <c r="C103" s="13" t="str">
        <f>'01 Product Master'!E103</f>
        <v>10 pcs</v>
      </c>
      <c r="D103" s="16">
        <f>'01 Product Master'!G103</f>
        <v>0</v>
      </c>
      <c r="E103" s="16">
        <f>'01 Product Master'!H103</f>
        <v>0</v>
      </c>
      <c r="F103" s="16">
        <f>'01 Product Master'!I103</f>
        <v>0</v>
      </c>
      <c r="G103" s="16" t="str">
        <f>'01 Product Master'!J103</f>
        <v/>
      </c>
      <c r="H103" s="16" t="str">
        <f>'01 Product Master'!K103</f>
        <v/>
      </c>
      <c r="I103" s="13"/>
    </row>
    <row r="104" spans="1:9" ht="16" x14ac:dyDescent="0.2">
      <c r="A104" s="13" t="str">
        <f>'01 Product Master'!A104</f>
        <v>SN-0103</v>
      </c>
      <c r="B104" s="13" t="str">
        <f>'01 Product Master'!C104</f>
        <v>Cengkeh</v>
      </c>
      <c r="C104" s="13" t="str">
        <f>'01 Product Master'!E104</f>
        <v>10 pcs</v>
      </c>
      <c r="D104" s="16">
        <f>'01 Product Master'!G104</f>
        <v>0</v>
      </c>
      <c r="E104" s="16">
        <f>'01 Product Master'!H104</f>
        <v>0</v>
      </c>
      <c r="F104" s="16">
        <f>'01 Product Master'!I104</f>
        <v>0</v>
      </c>
      <c r="G104" s="16" t="str">
        <f>'01 Product Master'!J104</f>
        <v/>
      </c>
      <c r="H104" s="16" t="str">
        <f>'01 Product Master'!K104</f>
        <v/>
      </c>
      <c r="I104" s="13"/>
    </row>
    <row r="105" spans="1:9" ht="16" x14ac:dyDescent="0.2">
      <c r="A105" s="13" t="str">
        <f>'01 Product Master'!A105</f>
        <v>SN-0104</v>
      </c>
      <c r="B105" s="13" t="str">
        <f>'01 Product Master'!C105</f>
        <v>Daun Jeruk</v>
      </c>
      <c r="C105" s="13" t="str">
        <f>'01 Product Master'!E105</f>
        <v>10 pcs</v>
      </c>
      <c r="D105" s="16">
        <f>'01 Product Master'!G105</f>
        <v>0</v>
      </c>
      <c r="E105" s="16">
        <f>'01 Product Master'!H105</f>
        <v>0</v>
      </c>
      <c r="F105" s="16">
        <f>'01 Product Master'!I105</f>
        <v>0</v>
      </c>
      <c r="G105" s="16" t="str">
        <f>'01 Product Master'!J105</f>
        <v/>
      </c>
      <c r="H105" s="16" t="str">
        <f>'01 Product Master'!K105</f>
        <v/>
      </c>
      <c r="I105" s="13"/>
    </row>
    <row r="106" spans="1:9" ht="16" x14ac:dyDescent="0.2">
      <c r="A106" s="13" t="str">
        <f>'01 Product Master'!A106</f>
        <v>SN-0105</v>
      </c>
      <c r="B106" s="13" t="str">
        <f>'01 Product Master'!C106</f>
        <v>Daun Salam</v>
      </c>
      <c r="C106" s="13" t="str">
        <f>'01 Product Master'!E106</f>
        <v>165 g</v>
      </c>
      <c r="D106" s="16">
        <f>'01 Product Master'!G106</f>
        <v>0</v>
      </c>
      <c r="E106" s="16">
        <f>'01 Product Master'!H106</f>
        <v>0</v>
      </c>
      <c r="F106" s="16">
        <f>'01 Product Master'!I106</f>
        <v>0</v>
      </c>
      <c r="G106" s="16" t="str">
        <f>'01 Product Master'!J106</f>
        <v/>
      </c>
      <c r="H106" s="16" t="str">
        <f>'01 Product Master'!K106</f>
        <v/>
      </c>
      <c r="I106" s="13"/>
    </row>
    <row r="107" spans="1:9" ht="16" x14ac:dyDescent="0.2">
      <c r="A107" s="13" t="str">
        <f>'01 Product Master'!A107</f>
        <v>SN-0106</v>
      </c>
      <c r="B107" s="13" t="str">
        <f>'01 Product Master'!C107</f>
        <v>Kemiri</v>
      </c>
      <c r="C107" s="13" t="str">
        <f>'01 Product Master'!E107</f>
        <v>10 pcs</v>
      </c>
      <c r="D107" s="16">
        <f>'01 Product Master'!G107</f>
        <v>0</v>
      </c>
      <c r="E107" s="16">
        <f>'01 Product Master'!H107</f>
        <v>0</v>
      </c>
      <c r="F107" s="16">
        <f>'01 Product Master'!I107</f>
        <v>0</v>
      </c>
      <c r="G107" s="16" t="str">
        <f>'01 Product Master'!J107</f>
        <v/>
      </c>
      <c r="H107" s="16" t="str">
        <f>'01 Product Master'!K107</f>
        <v/>
      </c>
      <c r="I107" s="13"/>
    </row>
    <row r="108" spans="1:9" ht="16" x14ac:dyDescent="0.2">
      <c r="A108" s="13" t="str">
        <f>'01 Product Master'!A108</f>
        <v>SN-0107</v>
      </c>
      <c r="B108" s="13" t="str">
        <f>'01 Product Master'!C108</f>
        <v>Kayu Manis</v>
      </c>
      <c r="C108" s="13" t="str">
        <f>'01 Product Master'!E108</f>
        <v>10 pcs</v>
      </c>
      <c r="D108" s="16">
        <f>'01 Product Master'!G108</f>
        <v>0</v>
      </c>
      <c r="E108" s="16">
        <f>'01 Product Master'!H108</f>
        <v>0</v>
      </c>
      <c r="F108" s="16">
        <f>'01 Product Master'!I108</f>
        <v>0</v>
      </c>
      <c r="G108" s="16" t="str">
        <f>'01 Product Master'!J108</f>
        <v/>
      </c>
      <c r="H108" s="16" t="str">
        <f>'01 Product Master'!K108</f>
        <v/>
      </c>
      <c r="I108" s="13"/>
    </row>
    <row r="109" spans="1:9" ht="16" x14ac:dyDescent="0.2">
      <c r="A109" s="13" t="str">
        <f>'01 Product Master'!A109</f>
        <v>SN-0108</v>
      </c>
      <c r="B109" s="13" t="str">
        <f>'01 Product Master'!C109</f>
        <v>Ketumbar Butir</v>
      </c>
      <c r="C109" s="13" t="str">
        <f>'01 Product Master'!E109</f>
        <v>10 pcs</v>
      </c>
      <c r="D109" s="16">
        <f>'01 Product Master'!G109</f>
        <v>0</v>
      </c>
      <c r="E109" s="16">
        <f>'01 Product Master'!H109</f>
        <v>0</v>
      </c>
      <c r="F109" s="16">
        <f>'01 Product Master'!I109</f>
        <v>0</v>
      </c>
      <c r="G109" s="16" t="str">
        <f>'01 Product Master'!J109</f>
        <v/>
      </c>
      <c r="H109" s="16" t="str">
        <f>'01 Product Master'!K109</f>
        <v/>
      </c>
      <c r="I109" s="13"/>
    </row>
    <row r="110" spans="1:9" ht="16" x14ac:dyDescent="0.2">
      <c r="A110" s="13" t="str">
        <f>'01 Product Master'!A110</f>
        <v>SN-0109</v>
      </c>
      <c r="B110" s="13" t="str">
        <f>'01 Product Master'!C110</f>
        <v>Kunyit</v>
      </c>
      <c r="C110" s="13" t="str">
        <f>'01 Product Master'!E110</f>
        <v>10 pcs</v>
      </c>
      <c r="D110" s="16">
        <f>'01 Product Master'!G110</f>
        <v>0</v>
      </c>
      <c r="E110" s="16">
        <f>'01 Product Master'!H110</f>
        <v>0</v>
      </c>
      <c r="F110" s="16">
        <f>'01 Product Master'!I110</f>
        <v>0</v>
      </c>
      <c r="G110" s="16" t="str">
        <f>'01 Product Master'!J110</f>
        <v/>
      </c>
      <c r="H110" s="16" t="str">
        <f>'01 Product Master'!K110</f>
        <v/>
      </c>
      <c r="I110" s="13"/>
    </row>
    <row r="111" spans="1:9" ht="16" x14ac:dyDescent="0.2">
      <c r="A111" s="13" t="str">
        <f>'01 Product Master'!A111</f>
        <v>SN-0110</v>
      </c>
      <c r="B111" s="13" t="str">
        <f>'01 Product Master'!C111</f>
        <v>Lada Hitam Butir</v>
      </c>
      <c r="C111" s="13" t="str">
        <f>'01 Product Master'!E111</f>
        <v>330 ml</v>
      </c>
      <c r="D111" s="16">
        <f>'01 Product Master'!G111</f>
        <v>0</v>
      </c>
      <c r="E111" s="16">
        <f>'01 Product Master'!H111</f>
        <v>0</v>
      </c>
      <c r="F111" s="16">
        <f>'01 Product Master'!I111</f>
        <v>0</v>
      </c>
      <c r="G111" s="16" t="str">
        <f>'01 Product Master'!J111</f>
        <v/>
      </c>
      <c r="H111" s="16" t="str">
        <f>'01 Product Master'!K111</f>
        <v/>
      </c>
      <c r="I111" s="13"/>
    </row>
    <row r="112" spans="1:9" ht="16" x14ac:dyDescent="0.2">
      <c r="A112" s="13" t="str">
        <f>'01 Product Master'!A112</f>
        <v>SN-0111</v>
      </c>
      <c r="B112" s="13" t="str">
        <f>'01 Product Master'!C112</f>
        <v>Lada/Merica Biji</v>
      </c>
      <c r="C112" s="13" t="str">
        <f>'01 Product Master'!E112</f>
        <v>620 ml</v>
      </c>
      <c r="D112" s="16">
        <f>'01 Product Master'!G112</f>
        <v>0</v>
      </c>
      <c r="E112" s="16">
        <f>'01 Product Master'!H112</f>
        <v>0</v>
      </c>
      <c r="F112" s="16">
        <f>'01 Product Master'!I112</f>
        <v>0</v>
      </c>
      <c r="G112" s="16" t="str">
        <f>'01 Product Master'!J112</f>
        <v/>
      </c>
      <c r="H112" s="16" t="str">
        <f>'01 Product Master'!K112</f>
        <v/>
      </c>
      <c r="I112" s="13"/>
    </row>
    <row r="113" spans="1:9" ht="16" x14ac:dyDescent="0.2">
      <c r="A113" s="13" t="str">
        <f>'01 Product Master'!A113</f>
        <v>SN-0112</v>
      </c>
      <c r="B113" s="13" t="str">
        <f>'01 Product Master'!C113</f>
        <v>Lengkoas</v>
      </c>
      <c r="C113" s="13" t="str">
        <f>'01 Product Master'!E113</f>
        <v>60 ml</v>
      </c>
      <c r="D113" s="16">
        <f>'01 Product Master'!G113</f>
        <v>0</v>
      </c>
      <c r="E113" s="16">
        <f>'01 Product Master'!H113</f>
        <v>0</v>
      </c>
      <c r="F113" s="16">
        <f>'01 Product Master'!I113</f>
        <v>0</v>
      </c>
      <c r="G113" s="16" t="str">
        <f>'01 Product Master'!J113</f>
        <v/>
      </c>
      <c r="H113" s="16" t="str">
        <f>'01 Product Master'!K113</f>
        <v/>
      </c>
      <c r="I113" s="13"/>
    </row>
    <row r="114" spans="1:9" ht="16" x14ac:dyDescent="0.2">
      <c r="A114" s="13" t="str">
        <f>'01 Product Master'!A114</f>
        <v>SN-0113</v>
      </c>
      <c r="B114" s="13" t="str">
        <f>'01 Product Master'!C114</f>
        <v>Sereh</v>
      </c>
      <c r="C114" s="13" t="str">
        <f>'01 Product Master'!E114</f>
        <v>20 g</v>
      </c>
      <c r="D114" s="16">
        <f>'01 Product Master'!G114</f>
        <v>0</v>
      </c>
      <c r="E114" s="16">
        <f>'01 Product Master'!H114</f>
        <v>0</v>
      </c>
      <c r="F114" s="16">
        <f>'01 Product Master'!I114</f>
        <v>0</v>
      </c>
      <c r="G114" s="16" t="str">
        <f>'01 Product Master'!J114</f>
        <v/>
      </c>
      <c r="H114" s="16" t="str">
        <f>'01 Product Master'!K114</f>
        <v/>
      </c>
      <c r="I114" s="13"/>
    </row>
    <row r="115" spans="1:9" ht="16" x14ac:dyDescent="0.2">
      <c r="A115" s="13" t="str">
        <f>'01 Product Master'!A115</f>
        <v>SN-0114</v>
      </c>
      <c r="B115" s="13" t="str">
        <f>'01 Product Master'!C115</f>
        <v>Bunga Lawang</v>
      </c>
      <c r="C115" s="13" t="str">
        <f>'01 Product Master'!E115</f>
        <v>Pack</v>
      </c>
      <c r="D115" s="16">
        <f>'01 Product Master'!G115</f>
        <v>0</v>
      </c>
      <c r="E115" s="16">
        <f>'01 Product Master'!H115</f>
        <v>0</v>
      </c>
      <c r="F115" s="16">
        <f>'01 Product Master'!I115</f>
        <v>0</v>
      </c>
      <c r="G115" s="16" t="str">
        <f>'01 Product Master'!J115</f>
        <v/>
      </c>
      <c r="H115" s="16" t="str">
        <f>'01 Product Master'!K115</f>
        <v/>
      </c>
      <c r="I115" s="13"/>
    </row>
    <row r="116" spans="1:9" ht="16" x14ac:dyDescent="0.2">
      <c r="A116" s="13" t="str">
        <f>'01 Product Master'!A116</f>
        <v>SN-0115</v>
      </c>
      <c r="B116" s="13" t="str">
        <f>'01 Product Master'!C116</f>
        <v>Kencur</v>
      </c>
      <c r="C116" s="13" t="str">
        <f>'01 Product Master'!E116</f>
        <v>12 sachet</v>
      </c>
      <c r="D116" s="16">
        <f>'01 Product Master'!G116</f>
        <v>0</v>
      </c>
      <c r="E116" s="16">
        <f>'01 Product Master'!H116</f>
        <v>0</v>
      </c>
      <c r="F116" s="16">
        <f>'01 Product Master'!I116</f>
        <v>0</v>
      </c>
      <c r="G116" s="16" t="str">
        <f>'01 Product Master'!J116</f>
        <v/>
      </c>
      <c r="H116" s="16" t="str">
        <f>'01 Product Master'!K116</f>
        <v/>
      </c>
      <c r="I116" s="13"/>
    </row>
    <row r="117" spans="1:9" ht="16" x14ac:dyDescent="0.2">
      <c r="A117" s="13" t="str">
        <f>'01 Product Master'!A117</f>
        <v>SN-0116</v>
      </c>
      <c r="B117" s="13" t="str">
        <f>'01 Product Master'!C117</f>
        <v>Jahe</v>
      </c>
      <c r="C117" s="13" t="str">
        <f>'01 Product Master'!E117</f>
        <v>15 sachet</v>
      </c>
      <c r="D117" s="16">
        <f>'01 Product Master'!G117</f>
        <v>0</v>
      </c>
      <c r="E117" s="16">
        <f>'01 Product Master'!H117</f>
        <v>0</v>
      </c>
      <c r="F117" s="16">
        <f>'01 Product Master'!I117</f>
        <v>0</v>
      </c>
      <c r="G117" s="16" t="str">
        <f>'01 Product Master'!J117</f>
        <v/>
      </c>
      <c r="H117" s="16" t="str">
        <f>'01 Product Master'!K117</f>
        <v/>
      </c>
      <c r="I117" s="13"/>
    </row>
    <row r="118" spans="1:9" ht="16" x14ac:dyDescent="0.2">
      <c r="A118" s="13" t="str">
        <f>'01 Product Master'!A118</f>
        <v>SN-0117</v>
      </c>
      <c r="B118" s="13" t="str">
        <f>'01 Product Master'!C118</f>
        <v>Gula Merah</v>
      </c>
      <c r="C118" s="13" t="str">
        <f>'01 Product Master'!E118</f>
        <v>7 ml</v>
      </c>
      <c r="D118" s="16">
        <f>'01 Product Master'!G118</f>
        <v>0</v>
      </c>
      <c r="E118" s="16">
        <f>'01 Product Master'!H118</f>
        <v>0</v>
      </c>
      <c r="F118" s="16">
        <f>'01 Product Master'!I118</f>
        <v>0</v>
      </c>
      <c r="G118" s="16" t="str">
        <f>'01 Product Master'!J118</f>
        <v/>
      </c>
      <c r="H118" s="16" t="str">
        <f>'01 Product Master'!K118</f>
        <v/>
      </c>
      <c r="I118" s="13"/>
    </row>
    <row r="119" spans="1:9" ht="16" x14ac:dyDescent="0.2">
      <c r="A119" s="13" t="str">
        <f>'01 Product Master'!A119</f>
        <v>SN-0118</v>
      </c>
      <c r="B119" s="13" t="str">
        <f>'01 Product Master'!C119</f>
        <v>Gula Aren</v>
      </c>
      <c r="C119" s="13" t="str">
        <f>'01 Product Master'!E119</f>
        <v>65 ml</v>
      </c>
      <c r="D119" s="16">
        <f>'01 Product Master'!G119</f>
        <v>0</v>
      </c>
      <c r="E119" s="16">
        <f>'01 Product Master'!H119</f>
        <v>0</v>
      </c>
      <c r="F119" s="16">
        <f>'01 Product Master'!I119</f>
        <v>0</v>
      </c>
      <c r="G119" s="16" t="str">
        <f>'01 Product Master'!J119</f>
        <v/>
      </c>
      <c r="H119" s="16" t="str">
        <f>'01 Product Master'!K119</f>
        <v/>
      </c>
      <c r="I119" s="13"/>
    </row>
    <row r="120" spans="1:9" ht="16" x14ac:dyDescent="0.2">
      <c r="A120" s="13" t="str">
        <f>'01 Product Master'!A120</f>
        <v>SN-0119</v>
      </c>
      <c r="B120" s="13" t="str">
        <f>'01 Product Master'!C120</f>
        <v>Santan Kara</v>
      </c>
      <c r="C120" s="13" t="str">
        <f>'01 Product Master'!E120</f>
        <v>200 ml</v>
      </c>
      <c r="D120" s="16">
        <f>'01 Product Master'!G120</f>
        <v>0</v>
      </c>
      <c r="E120" s="16">
        <f>'01 Product Master'!H120</f>
        <v>0</v>
      </c>
      <c r="F120" s="16">
        <f>'01 Product Master'!I120</f>
        <v>0</v>
      </c>
      <c r="G120" s="16" t="str">
        <f>'01 Product Master'!J120</f>
        <v/>
      </c>
      <c r="H120" s="16" t="str">
        <f>'01 Product Master'!K120</f>
        <v/>
      </c>
      <c r="I120" s="13"/>
    </row>
    <row r="121" spans="1:9" ht="16" x14ac:dyDescent="0.2">
      <c r="A121" s="13" t="str">
        <f>'01 Product Master'!A121</f>
        <v>SN-0120</v>
      </c>
      <c r="B121" s="13" t="str">
        <f>'01 Product Master'!C121</f>
        <v>Tepung Tapioka</v>
      </c>
      <c r="C121" s="13" t="str">
        <f>'01 Product Master'!E121</f>
        <v>500 g</v>
      </c>
      <c r="D121" s="16">
        <f>'01 Product Master'!G121</f>
        <v>0</v>
      </c>
      <c r="E121" s="16">
        <f>'01 Product Master'!H121</f>
        <v>0</v>
      </c>
      <c r="F121" s="16">
        <f>'01 Product Master'!I121</f>
        <v>0</v>
      </c>
      <c r="G121" s="16" t="str">
        <f>'01 Product Master'!J121</f>
        <v/>
      </c>
      <c r="H121" s="16" t="str">
        <f>'01 Product Master'!K121</f>
        <v/>
      </c>
      <c r="I121" s="13"/>
    </row>
    <row r="122" spans="1:9" ht="16" x14ac:dyDescent="0.2">
      <c r="A122" s="13" t="str">
        <f>'01 Product Master'!A122</f>
        <v>SN-0121</v>
      </c>
      <c r="B122" s="13" t="str">
        <f>'01 Product Master'!C122</f>
        <v>Tepung Beras</v>
      </c>
      <c r="C122" s="13" t="str">
        <f>'01 Product Master'!E122</f>
        <v>500 g</v>
      </c>
      <c r="D122" s="16">
        <f>'01 Product Master'!G122</f>
        <v>0</v>
      </c>
      <c r="E122" s="16">
        <f>'01 Product Master'!H122</f>
        <v>0</v>
      </c>
      <c r="F122" s="16">
        <f>'01 Product Master'!I122</f>
        <v>0</v>
      </c>
      <c r="G122" s="16" t="str">
        <f>'01 Product Master'!J122</f>
        <v/>
      </c>
      <c r="H122" s="16" t="str">
        <f>'01 Product Master'!K122</f>
        <v/>
      </c>
      <c r="I122" s="13"/>
    </row>
    <row r="123" spans="1:9" ht="16" x14ac:dyDescent="0.2">
      <c r="A123" s="13" t="str">
        <f>'01 Product Master'!A123</f>
        <v>SN-0122</v>
      </c>
      <c r="B123" s="13" t="str">
        <f>'01 Product Master'!C123</f>
        <v>Tepung Terigu</v>
      </c>
      <c r="C123" s="13" t="str">
        <f>'01 Product Master'!E123</f>
        <v>1 kg</v>
      </c>
      <c r="D123" s="16">
        <f>'01 Product Master'!G123</f>
        <v>0</v>
      </c>
      <c r="E123" s="16">
        <f>'01 Product Master'!H123</f>
        <v>0</v>
      </c>
      <c r="F123" s="16">
        <f>'01 Product Master'!I123</f>
        <v>0</v>
      </c>
      <c r="G123" s="16" t="str">
        <f>'01 Product Master'!J123</f>
        <v/>
      </c>
      <c r="H123" s="16" t="str">
        <f>'01 Product Master'!K123</f>
        <v/>
      </c>
      <c r="I123" s="13"/>
    </row>
    <row r="124" spans="1:9" ht="16" x14ac:dyDescent="0.2">
      <c r="A124" s="13" t="str">
        <f>'01 Product Master'!A124</f>
        <v>SN-0123</v>
      </c>
      <c r="B124" s="13" t="str">
        <f>'01 Product Master'!C124</f>
        <v>Terasi</v>
      </c>
      <c r="C124" s="13" t="str">
        <f>'01 Product Master'!E124</f>
        <v>250 g</v>
      </c>
      <c r="D124" s="16">
        <f>'01 Product Master'!G124</f>
        <v>0</v>
      </c>
      <c r="E124" s="16">
        <f>'01 Product Master'!H124</f>
        <v>0</v>
      </c>
      <c r="F124" s="16">
        <f>'01 Product Master'!I124</f>
        <v>0</v>
      </c>
      <c r="G124" s="16" t="str">
        <f>'01 Product Master'!J124</f>
        <v/>
      </c>
      <c r="H124" s="16" t="str">
        <f>'01 Product Master'!K124</f>
        <v/>
      </c>
      <c r="I124" s="13"/>
    </row>
    <row r="125" spans="1:9" ht="16" x14ac:dyDescent="0.2">
      <c r="A125" s="13" t="str">
        <f>'01 Product Master'!A125</f>
        <v>SN-0124</v>
      </c>
      <c r="B125" s="13" t="str">
        <f>'01 Product Master'!C125</f>
        <v>Kecap Asin</v>
      </c>
      <c r="C125" s="13" t="str">
        <f>'01 Product Master'!E125</f>
        <v>150 ml</v>
      </c>
      <c r="D125" s="16">
        <f>'01 Product Master'!G125</f>
        <v>0</v>
      </c>
      <c r="E125" s="16">
        <f>'01 Product Master'!H125</f>
        <v>0</v>
      </c>
      <c r="F125" s="16">
        <f>'01 Product Master'!I125</f>
        <v>0</v>
      </c>
      <c r="G125" s="16" t="str">
        <f>'01 Product Master'!J125</f>
        <v/>
      </c>
      <c r="H125" s="16" t="str">
        <f>'01 Product Master'!K125</f>
        <v/>
      </c>
      <c r="I125" s="13"/>
    </row>
    <row r="126" spans="1:9" ht="16" x14ac:dyDescent="0.2">
      <c r="A126" s="13" t="str">
        <f>'01 Product Master'!A126</f>
        <v>SN-0125</v>
      </c>
      <c r="B126" s="13" t="str">
        <f>'01 Product Master'!C126</f>
        <v>Cuka Masak</v>
      </c>
      <c r="C126" s="13" t="str">
        <f>'01 Product Master'!E126</f>
        <v>150 ml</v>
      </c>
      <c r="D126" s="16">
        <f>'01 Product Master'!G126</f>
        <v>0</v>
      </c>
      <c r="E126" s="16">
        <f>'01 Product Master'!H126</f>
        <v>0</v>
      </c>
      <c r="F126" s="16">
        <f>'01 Product Master'!I126</f>
        <v>0</v>
      </c>
      <c r="G126" s="16" t="str">
        <f>'01 Product Master'!J126</f>
        <v/>
      </c>
      <c r="H126" s="16" t="str">
        <f>'01 Product Master'!K126</f>
        <v/>
      </c>
      <c r="I126" s="13"/>
    </row>
    <row r="127" spans="1:9" ht="16" x14ac:dyDescent="0.2">
      <c r="A127" s="13" t="str">
        <f>'01 Product Master'!A127</f>
        <v>SN-0126</v>
      </c>
      <c r="B127" s="13" t="str">
        <f>'01 Product Master'!C127</f>
        <v>Kacang Tanah</v>
      </c>
      <c r="C127" s="13">
        <f>'01 Product Master'!E127</f>
        <v>0</v>
      </c>
      <c r="D127" s="16">
        <f>'01 Product Master'!G127</f>
        <v>0</v>
      </c>
      <c r="E127" s="16">
        <f>'01 Product Master'!H127</f>
        <v>0</v>
      </c>
      <c r="F127" s="16">
        <f>'01 Product Master'!I127</f>
        <v>0</v>
      </c>
      <c r="G127" s="16" t="str">
        <f>'01 Product Master'!J127</f>
        <v/>
      </c>
      <c r="H127" s="16" t="str">
        <f>'01 Product Master'!K127</f>
        <v/>
      </c>
      <c r="I127" s="13"/>
    </row>
    <row r="128" spans="1:9" ht="16" x14ac:dyDescent="0.2">
      <c r="A128" s="13" t="str">
        <f>'01 Product Master'!A128</f>
        <v>SN-0127</v>
      </c>
      <c r="B128" s="13" t="str">
        <f>'01 Product Master'!C128</f>
        <v>Kacang Ijo</v>
      </c>
      <c r="C128" s="13">
        <f>'01 Product Master'!E128</f>
        <v>0</v>
      </c>
      <c r="D128" s="16">
        <f>'01 Product Master'!G128</f>
        <v>0</v>
      </c>
      <c r="E128" s="16">
        <f>'01 Product Master'!H128</f>
        <v>0</v>
      </c>
      <c r="F128" s="16">
        <f>'01 Product Master'!I128</f>
        <v>0</v>
      </c>
      <c r="G128" s="16" t="str">
        <f>'01 Product Master'!J128</f>
        <v/>
      </c>
      <c r="H128" s="16" t="str">
        <f>'01 Product Master'!K128</f>
        <v/>
      </c>
      <c r="I128" s="13"/>
    </row>
    <row r="129" spans="1:9" ht="16" x14ac:dyDescent="0.2">
      <c r="A129" s="13" t="str">
        <f>'01 Product Master'!A129</f>
        <v>SN-0128</v>
      </c>
      <c r="B129" s="13" t="str">
        <f>'01 Product Master'!C129</f>
        <v>Kacang Kedelai</v>
      </c>
      <c r="C129" s="13">
        <f>'01 Product Master'!E129</f>
        <v>0</v>
      </c>
      <c r="D129" s="16">
        <f>'01 Product Master'!G129</f>
        <v>0</v>
      </c>
      <c r="E129" s="16">
        <f>'01 Product Master'!H129</f>
        <v>0</v>
      </c>
      <c r="F129" s="16">
        <f>'01 Product Master'!I129</f>
        <v>0</v>
      </c>
      <c r="G129" s="16" t="str">
        <f>'01 Product Master'!J129</f>
        <v/>
      </c>
      <c r="H129" s="16" t="str">
        <f>'01 Product Master'!K129</f>
        <v/>
      </c>
      <c r="I129" s="13"/>
    </row>
    <row r="130" spans="1:9" ht="16" x14ac:dyDescent="0.2">
      <c r="A130" s="13" t="str">
        <f>'01 Product Master'!A130</f>
        <v>SN-0129</v>
      </c>
      <c r="B130" s="13" t="str">
        <f>'01 Product Master'!C130</f>
        <v xml:space="preserve">Good Day Cappucino </v>
      </c>
      <c r="C130" s="13" t="str">
        <f>'01 Product Master'!E130</f>
        <v>10 pcs</v>
      </c>
      <c r="D130" s="16">
        <f>'01 Product Master'!G130</f>
        <v>950</v>
      </c>
      <c r="E130" s="16">
        <f>'01 Product Master'!H130</f>
        <v>980</v>
      </c>
      <c r="F130" s="16">
        <f>'01 Product Master'!I130</f>
        <v>950</v>
      </c>
      <c r="G130" s="16">
        <f>'01 Product Master'!J130</f>
        <v>960</v>
      </c>
      <c r="H130" s="16">
        <f>'01 Product Master'!K130</f>
        <v>960</v>
      </c>
      <c r="I130" s="13"/>
    </row>
    <row r="131" spans="1:9" ht="16" x14ac:dyDescent="0.2">
      <c r="A131" s="13" t="str">
        <f>'01 Product Master'!A131</f>
        <v>SN-0130</v>
      </c>
      <c r="B131" s="13" t="str">
        <f>'01 Product Master'!C131</f>
        <v>Max Tea</v>
      </c>
      <c r="C131" s="13">
        <f>'01 Product Master'!E131</f>
        <v>0</v>
      </c>
      <c r="D131" s="16">
        <f>'01 Product Master'!G131</f>
        <v>0</v>
      </c>
      <c r="E131" s="16">
        <f>'01 Product Master'!H131</f>
        <v>0</v>
      </c>
      <c r="F131" s="16">
        <f>'01 Product Master'!I131</f>
        <v>0</v>
      </c>
      <c r="G131" s="16" t="str">
        <f>'01 Product Master'!J131</f>
        <v/>
      </c>
      <c r="H131" s="16" t="str">
        <f>'01 Product Master'!K131</f>
        <v/>
      </c>
      <c r="I131" s="13"/>
    </row>
    <row r="132" spans="1:9" ht="16" x14ac:dyDescent="0.2">
      <c r="A132" s="13" t="str">
        <f>'01 Product Master'!A132</f>
        <v>SN-0131</v>
      </c>
      <c r="B132" s="13" t="str">
        <f>'01 Product Master'!C132</f>
        <v>Chocolatos Matcha sachet</v>
      </c>
      <c r="C132" s="13">
        <f>'01 Product Master'!E132</f>
        <v>0</v>
      </c>
      <c r="D132" s="16">
        <f>'01 Product Master'!G132</f>
        <v>0</v>
      </c>
      <c r="E132" s="16">
        <f>'01 Product Master'!H132</f>
        <v>0</v>
      </c>
      <c r="F132" s="16">
        <f>'01 Product Master'!I132</f>
        <v>0</v>
      </c>
      <c r="G132" s="16" t="str">
        <f>'01 Product Master'!J132</f>
        <v/>
      </c>
      <c r="H132" s="16" t="str">
        <f>'01 Product Master'!K132</f>
        <v/>
      </c>
      <c r="I132" s="13"/>
    </row>
    <row r="133" spans="1:9" ht="16" x14ac:dyDescent="0.2">
      <c r="A133" s="13" t="str">
        <f>'01 Product Master'!A133</f>
        <v>SN-0132</v>
      </c>
      <c r="B133" s="13" t="str">
        <f>'01 Product Master'!C133</f>
        <v>Chocolatos Cokelat Sachet</v>
      </c>
      <c r="C133" s="13">
        <f>'01 Product Master'!E133</f>
        <v>0</v>
      </c>
      <c r="D133" s="16">
        <f>'01 Product Master'!G133</f>
        <v>0</v>
      </c>
      <c r="E133" s="16">
        <f>'01 Product Master'!H133</f>
        <v>0</v>
      </c>
      <c r="F133" s="16">
        <f>'01 Product Master'!I133</f>
        <v>0</v>
      </c>
      <c r="G133" s="16" t="str">
        <f>'01 Product Master'!J133</f>
        <v/>
      </c>
      <c r="H133" s="16" t="str">
        <f>'01 Product Master'!K133</f>
        <v/>
      </c>
      <c r="I133" s="13"/>
    </row>
    <row r="134" spans="1:9" ht="16" x14ac:dyDescent="0.2">
      <c r="A134" s="13" t="str">
        <f>'01 Product Master'!A134</f>
        <v>SN-0133</v>
      </c>
      <c r="B134" s="13" t="str">
        <f>'01 Product Master'!C134</f>
        <v>Kukubima Royal Jelly</v>
      </c>
      <c r="C134" s="13">
        <f>'01 Product Master'!E134</f>
        <v>0</v>
      </c>
      <c r="D134" s="16">
        <f>'01 Product Master'!G134</f>
        <v>0</v>
      </c>
      <c r="E134" s="16">
        <f>'01 Product Master'!H134</f>
        <v>0</v>
      </c>
      <c r="F134" s="16">
        <f>'01 Product Master'!I134</f>
        <v>0</v>
      </c>
      <c r="G134" s="16" t="str">
        <f>'01 Product Master'!J134</f>
        <v/>
      </c>
      <c r="H134" s="16" t="str">
        <f>'01 Product Master'!K134</f>
        <v/>
      </c>
      <c r="I134" s="13"/>
    </row>
    <row r="135" spans="1:9" ht="16" x14ac:dyDescent="0.2">
      <c r="A135" s="13" t="str">
        <f>'01 Product Master'!A135</f>
        <v>SN-0134</v>
      </c>
      <c r="B135" s="13" t="str">
        <f>'01 Product Master'!C135</f>
        <v>Energen Vanilla</v>
      </c>
      <c r="C135" s="13">
        <f>'01 Product Master'!E135</f>
        <v>0</v>
      </c>
      <c r="D135" s="16">
        <f>'01 Product Master'!G135</f>
        <v>0</v>
      </c>
      <c r="E135" s="16">
        <f>'01 Product Master'!H135</f>
        <v>0</v>
      </c>
      <c r="F135" s="16">
        <f>'01 Product Master'!I135</f>
        <v>0</v>
      </c>
      <c r="G135" s="16" t="str">
        <f>'01 Product Master'!J135</f>
        <v/>
      </c>
      <c r="H135" s="16" t="str">
        <f>'01 Product Master'!K135</f>
        <v/>
      </c>
      <c r="I135" s="13"/>
    </row>
    <row r="136" spans="1:9" ht="16" x14ac:dyDescent="0.2">
      <c r="A136" s="13" t="str">
        <f>'01 Product Master'!A136</f>
        <v>SN-0135</v>
      </c>
      <c r="B136" s="13" t="str">
        <f>'01 Product Master'!C136</f>
        <v>Energen Jahe</v>
      </c>
      <c r="C136" s="13">
        <f>'01 Product Master'!E136</f>
        <v>0</v>
      </c>
      <c r="D136" s="16">
        <f>'01 Product Master'!G136</f>
        <v>0</v>
      </c>
      <c r="E136" s="16">
        <f>'01 Product Master'!H136</f>
        <v>0</v>
      </c>
      <c r="F136" s="16">
        <f>'01 Product Master'!I136</f>
        <v>0</v>
      </c>
      <c r="G136" s="16" t="str">
        <f>'01 Product Master'!J136</f>
        <v/>
      </c>
      <c r="H136" s="16" t="str">
        <f>'01 Product Master'!K136</f>
        <v/>
      </c>
      <c r="I136" s="13"/>
    </row>
    <row r="137" spans="1:9" ht="16" x14ac:dyDescent="0.2">
      <c r="A137" s="13" t="str">
        <f>'01 Product Master'!A137</f>
        <v>SN-0136</v>
      </c>
      <c r="B137" s="13" t="str">
        <f>'01 Product Master'!C137</f>
        <v>Energen Kacang Hijau</v>
      </c>
      <c r="C137" s="13">
        <f>'01 Product Master'!E137</f>
        <v>0</v>
      </c>
      <c r="D137" s="16">
        <f>'01 Product Master'!G137</f>
        <v>0</v>
      </c>
      <c r="E137" s="16">
        <f>'01 Product Master'!H137</f>
        <v>0</v>
      </c>
      <c r="F137" s="16">
        <f>'01 Product Master'!I137</f>
        <v>0</v>
      </c>
      <c r="G137" s="16" t="str">
        <f>'01 Product Master'!J137</f>
        <v/>
      </c>
      <c r="H137" s="16" t="str">
        <f>'01 Product Master'!K137</f>
        <v/>
      </c>
      <c r="I137" s="13"/>
    </row>
    <row r="138" spans="1:9" ht="16" x14ac:dyDescent="0.2">
      <c r="A138" s="13" t="str">
        <f>'01 Product Master'!A138</f>
        <v>SN-0137</v>
      </c>
      <c r="B138" s="13" t="str">
        <f>'01 Product Master'!C138</f>
        <v>Energen Cokelat</v>
      </c>
      <c r="C138" s="13">
        <f>'01 Product Master'!E138</f>
        <v>0</v>
      </c>
      <c r="D138" s="16">
        <f>'01 Product Master'!G138</f>
        <v>0</v>
      </c>
      <c r="E138" s="16">
        <f>'01 Product Master'!H138</f>
        <v>0</v>
      </c>
      <c r="F138" s="16">
        <f>'01 Product Master'!I138</f>
        <v>0</v>
      </c>
      <c r="G138" s="16" t="str">
        <f>'01 Product Master'!J138</f>
        <v/>
      </c>
      <c r="H138" s="16" t="str">
        <f>'01 Product Master'!K138</f>
        <v/>
      </c>
      <c r="I138" s="13"/>
    </row>
    <row r="139" spans="1:9" ht="16" x14ac:dyDescent="0.2">
      <c r="A139" s="13" t="str">
        <f>'01 Product Master'!A139</f>
        <v>SN-0138</v>
      </c>
      <c r="B139" s="13" t="str">
        <f>'01 Product Master'!C139</f>
        <v>Nutrijell all varian</v>
      </c>
      <c r="C139" s="13">
        <f>'01 Product Master'!E139</f>
        <v>0</v>
      </c>
      <c r="D139" s="16">
        <f>'01 Product Master'!G139</f>
        <v>0</v>
      </c>
      <c r="E139" s="16">
        <f>'01 Product Master'!H139</f>
        <v>0</v>
      </c>
      <c r="F139" s="16">
        <f>'01 Product Master'!I139</f>
        <v>0</v>
      </c>
      <c r="G139" s="16" t="str">
        <f>'01 Product Master'!J139</f>
        <v/>
      </c>
      <c r="H139" s="16" t="str">
        <f>'01 Product Master'!K139</f>
        <v/>
      </c>
      <c r="I139" s="13"/>
    </row>
    <row r="140" spans="1:9" ht="16" x14ac:dyDescent="0.2">
      <c r="A140" s="1" t="str">
        <f>'01 Product Master'!A140</f>
        <v>SN-0139</v>
      </c>
      <c r="B140" s="1" t="str">
        <f>'01 Product Master'!C140</f>
        <v>Dancow Sachet</v>
      </c>
      <c r="C140" s="1">
        <f>'01 Product Master'!E140</f>
        <v>0</v>
      </c>
      <c r="D140" s="7">
        <f>'01 Product Master'!G140</f>
        <v>0</v>
      </c>
      <c r="E140" s="7">
        <f>'01 Product Master'!H140</f>
        <v>0</v>
      </c>
      <c r="F140" s="7">
        <f>'01 Product Master'!I140</f>
        <v>0</v>
      </c>
      <c r="G140" s="7" t="str">
        <f>'01 Product Master'!J140</f>
        <v/>
      </c>
      <c r="H140" s="7" t="str">
        <f>'01 Product Master'!K140</f>
        <v/>
      </c>
      <c r="I140" s="1"/>
    </row>
    <row r="141" spans="1:9" ht="16" x14ac:dyDescent="0.2">
      <c r="A141" s="1" t="str">
        <f>'01 Product Master'!A141</f>
        <v>SN-0140</v>
      </c>
      <c r="B141" s="1" t="str">
        <f>'01 Product Master'!C141</f>
        <v>Milo Sachet</v>
      </c>
      <c r="C141" s="1">
        <f>'01 Product Master'!E141</f>
        <v>0</v>
      </c>
      <c r="D141" s="7">
        <f>'01 Product Master'!G141</f>
        <v>0</v>
      </c>
      <c r="E141" s="7">
        <f>'01 Product Master'!H141</f>
        <v>0</v>
      </c>
      <c r="F141" s="7">
        <f>'01 Product Master'!I141</f>
        <v>0</v>
      </c>
      <c r="G141" s="7" t="str">
        <f>'01 Product Master'!J141</f>
        <v/>
      </c>
      <c r="H141" s="7" t="str">
        <f>'01 Product Master'!K141</f>
        <v/>
      </c>
      <c r="I141" s="1"/>
    </row>
    <row r="142" spans="1:9" ht="16" x14ac:dyDescent="0.2">
      <c r="A142" s="1" t="str">
        <f>'01 Product Master'!A142</f>
        <v>SN-0141</v>
      </c>
      <c r="B142" s="1" t="str">
        <f>'01 Product Master'!C142</f>
        <v>Nutrisari Jeruk</v>
      </c>
      <c r="C142" s="1">
        <f>'01 Product Master'!E142</f>
        <v>0</v>
      </c>
      <c r="D142" s="7">
        <f>'01 Product Master'!G142</f>
        <v>0</v>
      </c>
      <c r="E142" s="7">
        <f>'01 Product Master'!H142</f>
        <v>0</v>
      </c>
      <c r="F142" s="7">
        <f>'01 Product Master'!I142</f>
        <v>0</v>
      </c>
      <c r="G142" s="7" t="str">
        <f>'01 Product Master'!J142</f>
        <v/>
      </c>
      <c r="H142" s="7" t="str">
        <f>'01 Product Master'!K142</f>
        <v/>
      </c>
      <c r="I142" s="1"/>
    </row>
    <row r="143" spans="1:9" ht="16" x14ac:dyDescent="0.2">
      <c r="A143" s="1" t="str">
        <f>'01 Product Master'!A143</f>
        <v>SN-0142</v>
      </c>
      <c r="B143" s="1" t="str">
        <f>'01 Product Master'!C143</f>
        <v>Nutrisari Jeruk Peras</v>
      </c>
      <c r="C143" s="1">
        <f>'01 Product Master'!E143</f>
        <v>0</v>
      </c>
      <c r="D143" s="7">
        <f>'01 Product Master'!G143</f>
        <v>0</v>
      </c>
      <c r="E143" s="7">
        <f>'01 Product Master'!H143</f>
        <v>0</v>
      </c>
      <c r="F143" s="7">
        <f>'01 Product Master'!I143</f>
        <v>0</v>
      </c>
      <c r="G143" s="7" t="str">
        <f>'01 Product Master'!J143</f>
        <v/>
      </c>
      <c r="H143" s="7" t="str">
        <f>'01 Product Master'!K143</f>
        <v/>
      </c>
      <c r="I143" s="1"/>
    </row>
    <row r="144" spans="1:9" ht="16" x14ac:dyDescent="0.2">
      <c r="A144" s="1" t="str">
        <f>'01 Product Master'!A144</f>
        <v>SN-0143</v>
      </c>
      <c r="B144" s="1" t="str">
        <f>'01 Product Master'!C144</f>
        <v>Caffee Mix</v>
      </c>
      <c r="C144" s="1">
        <f>'01 Product Master'!E144</f>
        <v>0</v>
      </c>
      <c r="D144" s="7">
        <f>'01 Product Master'!G144</f>
        <v>0</v>
      </c>
      <c r="E144" s="7">
        <f>'01 Product Master'!H144</f>
        <v>0</v>
      </c>
      <c r="F144" s="7">
        <f>'01 Product Master'!I144</f>
        <v>0</v>
      </c>
      <c r="G144" s="7" t="str">
        <f>'01 Product Master'!J144</f>
        <v/>
      </c>
      <c r="H144" s="7" t="str">
        <f>'01 Product Master'!K144</f>
        <v/>
      </c>
      <c r="I144" s="1"/>
    </row>
    <row r="145" spans="1:9" ht="16" x14ac:dyDescent="0.2">
      <c r="A145" s="1" t="str">
        <f>'01 Product Master'!A145</f>
        <v>SN-0144</v>
      </c>
      <c r="B145" s="1" t="str">
        <f>'01 Product Master'!C145</f>
        <v>Indomilk Sachet full cream</v>
      </c>
      <c r="C145" s="1">
        <f>'01 Product Master'!E145</f>
        <v>0</v>
      </c>
      <c r="D145" s="7">
        <f>'01 Product Master'!G145</f>
        <v>0</v>
      </c>
      <c r="E145" s="7">
        <f>'01 Product Master'!H145</f>
        <v>0</v>
      </c>
      <c r="F145" s="7">
        <f>'01 Product Master'!I145</f>
        <v>0</v>
      </c>
      <c r="G145" s="7" t="str">
        <f>'01 Product Master'!J145</f>
        <v/>
      </c>
      <c r="H145" s="7" t="str">
        <f>'01 Product Master'!K145</f>
        <v/>
      </c>
      <c r="I145" s="1"/>
    </row>
    <row r="146" spans="1:9" ht="16" x14ac:dyDescent="0.2">
      <c r="A146" s="1" t="str">
        <f>'01 Product Master'!A146</f>
        <v>SN-0145</v>
      </c>
      <c r="B146" s="1" t="str">
        <f>'01 Product Master'!C146</f>
        <v>Jahe Merah AMH</v>
      </c>
      <c r="C146" s="1">
        <f>'01 Product Master'!E146</f>
        <v>0</v>
      </c>
      <c r="D146" s="7">
        <f>'01 Product Master'!G146</f>
        <v>0</v>
      </c>
      <c r="E146" s="7">
        <f>'01 Product Master'!H146</f>
        <v>0</v>
      </c>
      <c r="F146" s="7">
        <f>'01 Product Master'!I146</f>
        <v>0</v>
      </c>
      <c r="G146" s="7" t="str">
        <f>'01 Product Master'!J146</f>
        <v/>
      </c>
      <c r="H146" s="7" t="str">
        <f>'01 Product Master'!K146</f>
        <v/>
      </c>
      <c r="I146" s="1"/>
    </row>
    <row r="147" spans="1:9" ht="16" x14ac:dyDescent="0.2">
      <c r="A147" s="1" t="str">
        <f>'01 Product Master'!A147</f>
        <v>SN-0146</v>
      </c>
      <c r="B147" s="1" t="str">
        <f>'01 Product Master'!C147</f>
        <v>Wedang Bajigur</v>
      </c>
      <c r="C147" s="1">
        <f>'01 Product Master'!E147</f>
        <v>0</v>
      </c>
      <c r="D147" s="7">
        <f>'01 Product Master'!G147</f>
        <v>0</v>
      </c>
      <c r="E147" s="7">
        <f>'01 Product Master'!H147</f>
        <v>0</v>
      </c>
      <c r="F147" s="7">
        <f>'01 Product Master'!I147</f>
        <v>0</v>
      </c>
      <c r="G147" s="7" t="str">
        <f>'01 Product Master'!J147</f>
        <v/>
      </c>
      <c r="H147" s="7" t="str">
        <f>'01 Product Master'!K147</f>
        <v/>
      </c>
      <c r="I147" s="1"/>
    </row>
    <row r="148" spans="1:9" ht="16" x14ac:dyDescent="0.2">
      <c r="A148" s="1" t="str">
        <f>'01 Product Master'!A148</f>
        <v>SN-0147</v>
      </c>
      <c r="B148" s="1" t="str">
        <f>'01 Product Master'!C148</f>
        <v>Kapal Api Sachet</v>
      </c>
      <c r="C148" s="1">
        <f>'01 Product Master'!E148</f>
        <v>0</v>
      </c>
      <c r="D148" s="7">
        <f>'01 Product Master'!G148</f>
        <v>0</v>
      </c>
      <c r="E148" s="7">
        <f>'01 Product Master'!H148</f>
        <v>0</v>
      </c>
      <c r="F148" s="7">
        <f>'01 Product Master'!I148</f>
        <v>0</v>
      </c>
      <c r="G148" s="7" t="str">
        <f>'01 Product Master'!J148</f>
        <v/>
      </c>
      <c r="H148" s="7" t="str">
        <f>'01 Product Master'!K148</f>
        <v/>
      </c>
      <c r="I148" s="1"/>
    </row>
    <row r="149" spans="1:9" ht="16" x14ac:dyDescent="0.2">
      <c r="A149" s="1" t="str">
        <f>'01 Product Master'!A149</f>
        <v>SN-0148</v>
      </c>
      <c r="B149" s="1" t="str">
        <f>'01 Product Master'!C149</f>
        <v>Extra Joss</v>
      </c>
      <c r="C149" s="1">
        <f>'01 Product Master'!E149</f>
        <v>0</v>
      </c>
      <c r="D149" s="7">
        <f>'01 Product Master'!G149</f>
        <v>0</v>
      </c>
      <c r="E149" s="7">
        <f>'01 Product Master'!H149</f>
        <v>0</v>
      </c>
      <c r="F149" s="7">
        <f>'01 Product Master'!I149</f>
        <v>0</v>
      </c>
      <c r="G149" s="7" t="str">
        <f>'01 Product Master'!J149</f>
        <v/>
      </c>
      <c r="H149" s="7" t="str">
        <f>'01 Product Master'!K149</f>
        <v/>
      </c>
      <c r="I149" s="1"/>
    </row>
    <row r="150" spans="1:9" ht="16" x14ac:dyDescent="0.2">
      <c r="A150" s="1" t="str">
        <f>'01 Product Master'!A150</f>
        <v>SN-0149</v>
      </c>
      <c r="B150" s="1" t="str">
        <f>'01 Product Master'!C150</f>
        <v>Sari Wangi The</v>
      </c>
      <c r="C150" s="1">
        <f>'01 Product Master'!E150</f>
        <v>0</v>
      </c>
      <c r="D150" s="7">
        <f>'01 Product Master'!G150</f>
        <v>0</v>
      </c>
      <c r="E150" s="7">
        <f>'01 Product Master'!H150</f>
        <v>0</v>
      </c>
      <c r="F150" s="7">
        <f>'01 Product Master'!I150</f>
        <v>0</v>
      </c>
      <c r="G150" s="7" t="str">
        <f>'01 Product Master'!J150</f>
        <v/>
      </c>
      <c r="H150" s="7" t="str">
        <f>'01 Product Master'!K150</f>
        <v/>
      </c>
      <c r="I150" s="1"/>
    </row>
    <row r="151" spans="1:9" ht="16" x14ac:dyDescent="0.2">
      <c r="A151" s="1" t="str">
        <f>'01 Product Master'!A151</f>
        <v>SN-0150</v>
      </c>
      <c r="B151" s="1" t="str">
        <f>'01 Product Master'!C151</f>
        <v>Tong Jie</v>
      </c>
      <c r="C151" s="1">
        <f>'01 Product Master'!E151</f>
        <v>0</v>
      </c>
      <c r="D151" s="7">
        <f>'01 Product Master'!G151</f>
        <v>0</v>
      </c>
      <c r="E151" s="7">
        <f>'01 Product Master'!H151</f>
        <v>0</v>
      </c>
      <c r="F151" s="7">
        <f>'01 Product Master'!I151</f>
        <v>0</v>
      </c>
      <c r="G151" s="7" t="str">
        <f>'01 Product Master'!J151</f>
        <v/>
      </c>
      <c r="H151" s="7" t="str">
        <f>'01 Product Master'!K151</f>
        <v/>
      </c>
      <c r="I151" s="1"/>
    </row>
    <row r="152" spans="1:9" ht="16" x14ac:dyDescent="0.2">
      <c r="A152" s="1" t="str">
        <f>'01 Product Master'!A152</f>
        <v>SN-0151</v>
      </c>
      <c r="B152" s="1" t="str">
        <f>'01 Product Master'!C152</f>
        <v>Good Day Carrebian nuts</v>
      </c>
      <c r="C152" s="1" t="str">
        <f>'01 Product Master'!E152</f>
        <v>10 pcs</v>
      </c>
      <c r="D152" s="7">
        <f>'01 Product Master'!G152</f>
        <v>900</v>
      </c>
      <c r="E152" s="7">
        <f>'01 Product Master'!H152</f>
        <v>980</v>
      </c>
      <c r="F152" s="7">
        <f>'01 Product Master'!I152</f>
        <v>0</v>
      </c>
      <c r="G152" s="7">
        <f>'01 Product Master'!J152</f>
        <v>940</v>
      </c>
      <c r="H152" s="7">
        <f>'01 Product Master'!K152</f>
        <v>940</v>
      </c>
      <c r="I152" s="1"/>
    </row>
    <row r="153" spans="1:9" ht="16" x14ac:dyDescent="0.2">
      <c r="A153" s="1" t="str">
        <f>'01 Product Master'!A153</f>
        <v>SN-0152</v>
      </c>
      <c r="B153" s="1" t="str">
        <f>'01 Product Master'!C153</f>
        <v>Bear Brand Milk</v>
      </c>
      <c r="C153" s="1">
        <f>'01 Product Master'!E153</f>
        <v>0</v>
      </c>
      <c r="D153" s="7">
        <f>'01 Product Master'!G153</f>
        <v>0</v>
      </c>
      <c r="E153" s="7">
        <f>'01 Product Master'!H153</f>
        <v>0</v>
      </c>
      <c r="F153" s="7">
        <f>'01 Product Master'!I153</f>
        <v>0</v>
      </c>
      <c r="G153" s="7" t="str">
        <f>'01 Product Master'!J153</f>
        <v/>
      </c>
      <c r="H153" s="7" t="str">
        <f>'01 Product Master'!K153</f>
        <v/>
      </c>
      <c r="I153" s="1"/>
    </row>
    <row r="154" spans="1:9" ht="16" x14ac:dyDescent="0.2">
      <c r="A154" s="1" t="str">
        <f>'01 Product Master'!A154</f>
        <v>SN-0153</v>
      </c>
      <c r="B154" s="1" t="str">
        <f>'01 Product Master'!C154</f>
        <v>Teh Pucuk</v>
      </c>
      <c r="C154" s="1">
        <f>'01 Product Master'!E154</f>
        <v>0</v>
      </c>
      <c r="D154" s="7">
        <f>'01 Product Master'!G154</f>
        <v>0</v>
      </c>
      <c r="E154" s="7">
        <f>'01 Product Master'!H154</f>
        <v>0</v>
      </c>
      <c r="F154" s="7">
        <f>'01 Product Master'!I154</f>
        <v>0</v>
      </c>
      <c r="G154" s="7" t="str">
        <f>'01 Product Master'!J154</f>
        <v/>
      </c>
      <c r="H154" s="7" t="str">
        <f>'01 Product Master'!K154</f>
        <v/>
      </c>
      <c r="I154" s="1"/>
    </row>
    <row r="155" spans="1:9" ht="16" x14ac:dyDescent="0.2">
      <c r="A155" s="1" t="str">
        <f>'01 Product Master'!A155</f>
        <v>SN-0154</v>
      </c>
      <c r="B155" s="1" t="str">
        <f>'01 Product Master'!C155</f>
        <v>Teh Kotak</v>
      </c>
      <c r="C155" s="1">
        <f>'01 Product Master'!E155</f>
        <v>0</v>
      </c>
      <c r="D155" s="7">
        <f>'01 Product Master'!G155</f>
        <v>0</v>
      </c>
      <c r="E155" s="7">
        <f>'01 Product Master'!H155</f>
        <v>0</v>
      </c>
      <c r="F155" s="7">
        <f>'01 Product Master'!I155</f>
        <v>0</v>
      </c>
      <c r="G155" s="7" t="str">
        <f>'01 Product Master'!J155</f>
        <v/>
      </c>
      <c r="H155" s="7" t="str">
        <f>'01 Product Master'!K155</f>
        <v/>
      </c>
      <c r="I155" s="1"/>
    </row>
    <row r="156" spans="1:9" ht="16" x14ac:dyDescent="0.2">
      <c r="A156" s="1" t="str">
        <f>'01 Product Master'!A156</f>
        <v>SN-0155</v>
      </c>
      <c r="B156" s="1" t="str">
        <f>'01 Product Master'!C156</f>
        <v>Teh Botol Sosro</v>
      </c>
      <c r="C156" s="1">
        <f>'01 Product Master'!E156</f>
        <v>0</v>
      </c>
      <c r="D156" s="7">
        <f>'01 Product Master'!G156</f>
        <v>0</v>
      </c>
      <c r="E156" s="7">
        <f>'01 Product Master'!H156</f>
        <v>0</v>
      </c>
      <c r="F156" s="7">
        <f>'01 Product Master'!I156</f>
        <v>0</v>
      </c>
      <c r="G156" s="7" t="str">
        <f>'01 Product Master'!J156</f>
        <v/>
      </c>
      <c r="H156" s="7" t="str">
        <f>'01 Product Master'!K156</f>
        <v/>
      </c>
      <c r="I156" s="1"/>
    </row>
    <row r="157" spans="1:9" ht="16" x14ac:dyDescent="0.2">
      <c r="A157" s="1" t="str">
        <f>'01 Product Master'!A157</f>
        <v>SN-0156</v>
      </c>
      <c r="B157" s="1" t="str">
        <f>'01 Product Master'!C157</f>
        <v>Marjan Cocopandan</v>
      </c>
      <c r="C157" s="1">
        <f>'01 Product Master'!E157</f>
        <v>0</v>
      </c>
      <c r="D157" s="7">
        <f>'01 Product Master'!G157</f>
        <v>0</v>
      </c>
      <c r="E157" s="7">
        <f>'01 Product Master'!H157</f>
        <v>0</v>
      </c>
      <c r="F157" s="7">
        <f>'01 Product Master'!I157</f>
        <v>0</v>
      </c>
      <c r="G157" s="7" t="str">
        <f>'01 Product Master'!J157</f>
        <v/>
      </c>
      <c r="H157" s="7" t="str">
        <f>'01 Product Master'!K157</f>
        <v/>
      </c>
      <c r="I157" s="1"/>
    </row>
    <row r="158" spans="1:9" ht="16" x14ac:dyDescent="0.2">
      <c r="A158" s="1" t="str">
        <f>'01 Product Master'!A158</f>
        <v>SN-0157</v>
      </c>
      <c r="B158" s="1" t="str">
        <f>'01 Product Master'!C158</f>
        <v>Marjan Melon</v>
      </c>
      <c r="C158" s="1">
        <f>'01 Product Master'!E158</f>
        <v>0</v>
      </c>
      <c r="D158" s="7">
        <f>'01 Product Master'!G158</f>
        <v>0</v>
      </c>
      <c r="E158" s="7">
        <f>'01 Product Master'!H158</f>
        <v>0</v>
      </c>
      <c r="F158" s="7">
        <f>'01 Product Master'!I158</f>
        <v>0</v>
      </c>
      <c r="G158" s="7" t="str">
        <f>'01 Product Master'!J158</f>
        <v/>
      </c>
      <c r="H158" s="7" t="str">
        <f>'01 Product Master'!K158</f>
        <v/>
      </c>
      <c r="I158" s="1"/>
    </row>
    <row r="159" spans="1:9" ht="16" x14ac:dyDescent="0.2">
      <c r="A159" s="1" t="str">
        <f>'01 Product Master'!A159</f>
        <v>SN-0158</v>
      </c>
      <c r="B159" s="1" t="str">
        <f>'01 Product Master'!C159</f>
        <v>Luwak White Coffee</v>
      </c>
      <c r="C159" s="1">
        <f>'01 Product Master'!E159</f>
        <v>0</v>
      </c>
      <c r="D159" s="7">
        <f>'01 Product Master'!G159</f>
        <v>0</v>
      </c>
      <c r="E159" s="7">
        <f>'01 Product Master'!H159</f>
        <v>0</v>
      </c>
      <c r="F159" s="7">
        <f>'01 Product Master'!I159</f>
        <v>0</v>
      </c>
      <c r="G159" s="7" t="str">
        <f>'01 Product Master'!J159</f>
        <v/>
      </c>
      <c r="H159" s="7" t="str">
        <f>'01 Product Master'!K159</f>
        <v/>
      </c>
      <c r="I159" s="1"/>
    </row>
    <row r="160" spans="1:9" ht="16" x14ac:dyDescent="0.2">
      <c r="A160" s="1" t="str">
        <f>'01 Product Master'!A160</f>
        <v>SN-0159</v>
      </c>
      <c r="B160" s="1" t="str">
        <f>'01 Product Master'!C160</f>
        <v>Good Day Original</v>
      </c>
      <c r="C160" s="1" t="str">
        <f>'01 Product Master'!E160</f>
        <v>10 pcs</v>
      </c>
      <c r="D160" s="7">
        <f>'01 Product Master'!G160</f>
        <v>900</v>
      </c>
      <c r="E160" s="7">
        <f>'01 Product Master'!H160</f>
        <v>980</v>
      </c>
      <c r="F160" s="7">
        <f>'01 Product Master'!I160</f>
        <v>0</v>
      </c>
      <c r="G160" s="7">
        <f>'01 Product Master'!J160</f>
        <v>940</v>
      </c>
      <c r="H160" s="7">
        <f>'01 Product Master'!K160</f>
        <v>940</v>
      </c>
      <c r="I160" s="1"/>
    </row>
    <row r="161" spans="1:9" ht="16" x14ac:dyDescent="0.2">
      <c r="A161" s="1" t="str">
        <f>'01 Product Master'!A161</f>
        <v>SN-0160</v>
      </c>
      <c r="B161" s="1" t="str">
        <f>'01 Product Master'!C161</f>
        <v>Good Day Vanilla</v>
      </c>
      <c r="C161" s="1" t="str">
        <f>'01 Product Master'!E161</f>
        <v>10 pcs</v>
      </c>
      <c r="D161" s="7">
        <f>'01 Product Master'!G161</f>
        <v>900</v>
      </c>
      <c r="E161" s="7">
        <f>'01 Product Master'!H161</f>
        <v>850</v>
      </c>
      <c r="F161" s="7">
        <f>'01 Product Master'!I161</f>
        <v>0</v>
      </c>
      <c r="G161" s="7">
        <f>'01 Product Master'!J161</f>
        <v>875</v>
      </c>
      <c r="H161" s="7">
        <f>'01 Product Master'!K161</f>
        <v>880</v>
      </c>
      <c r="I161" s="1"/>
    </row>
    <row r="162" spans="1:9" ht="16" x14ac:dyDescent="0.2">
      <c r="A162" s="1" t="str">
        <f>'01 Product Master'!A162</f>
        <v>SN-0161</v>
      </c>
      <c r="B162" s="1" t="str">
        <f>'01 Product Master'!C162</f>
        <v>Good Day Chocochino</v>
      </c>
      <c r="C162" s="1" t="str">
        <f>'01 Product Master'!E162</f>
        <v>10 pcs</v>
      </c>
      <c r="D162" s="7">
        <f>'01 Product Master'!G162</f>
        <v>900</v>
      </c>
      <c r="E162" s="7">
        <f>'01 Product Master'!H162</f>
        <v>980</v>
      </c>
      <c r="F162" s="7">
        <f>'01 Product Master'!I162</f>
        <v>0</v>
      </c>
      <c r="G162" s="7">
        <f>'01 Product Master'!J162</f>
        <v>940</v>
      </c>
      <c r="H162" s="7">
        <f>'01 Product Master'!K162</f>
        <v>940</v>
      </c>
      <c r="I162" s="1"/>
    </row>
    <row r="163" spans="1:9" ht="16" x14ac:dyDescent="0.2">
      <c r="A163" s="1" t="str">
        <f>'01 Product Master'!A163</f>
        <v>SN-0162</v>
      </c>
      <c r="B163" s="1" t="str">
        <f>'01 Product Master'!C163</f>
        <v>Good Day Mochachino</v>
      </c>
      <c r="C163" s="1" t="str">
        <f>'01 Product Master'!E163</f>
        <v>10 pcs</v>
      </c>
      <c r="D163" s="7">
        <f>'01 Product Master'!G163</f>
        <v>900</v>
      </c>
      <c r="E163" s="7">
        <f>'01 Product Master'!H163</f>
        <v>980</v>
      </c>
      <c r="F163" s="7">
        <f>'01 Product Master'!I163</f>
        <v>0</v>
      </c>
      <c r="G163" s="7">
        <f>'01 Product Master'!J163</f>
        <v>940</v>
      </c>
      <c r="H163" s="7">
        <f>'01 Product Master'!K163</f>
        <v>940</v>
      </c>
      <c r="I163" s="1"/>
    </row>
    <row r="164" spans="1:9" ht="16" x14ac:dyDescent="0.2">
      <c r="A164" s="1" t="str">
        <f>'01 Product Master'!A164</f>
        <v>SN-0163</v>
      </c>
      <c r="B164" s="1" t="str">
        <f>'01 Product Master'!C164</f>
        <v>Good Day Freez</v>
      </c>
      <c r="C164" s="1" t="str">
        <f>'01 Product Master'!E164</f>
        <v>10 pcs</v>
      </c>
      <c r="D164" s="7">
        <f>'01 Product Master'!G164</f>
        <v>900</v>
      </c>
      <c r="E164" s="7">
        <f>'01 Product Master'!H164</f>
        <v>980</v>
      </c>
      <c r="F164" s="7">
        <f>'01 Product Master'!I164</f>
        <v>0</v>
      </c>
      <c r="G164" s="7">
        <f>'01 Product Master'!J164</f>
        <v>940</v>
      </c>
      <c r="H164" s="7">
        <f>'01 Product Master'!K164</f>
        <v>940</v>
      </c>
      <c r="I164" s="1"/>
    </row>
    <row r="165" spans="1:9" ht="16" x14ac:dyDescent="0.2">
      <c r="A165" s="1" t="str">
        <f>'01 Product Master'!A165</f>
        <v>SN-0164</v>
      </c>
      <c r="B165" s="1" t="str">
        <f>'01 Product Master'!C165</f>
        <v>Good Day Cool in</v>
      </c>
      <c r="C165" s="1" t="str">
        <f>'01 Product Master'!E165</f>
        <v>10 pcs</v>
      </c>
      <c r="D165" s="7">
        <f>'01 Product Master'!G165</f>
        <v>900</v>
      </c>
      <c r="E165" s="7">
        <f>'01 Product Master'!H165</f>
        <v>980</v>
      </c>
      <c r="F165" s="7">
        <f>'01 Product Master'!I165</f>
        <v>0</v>
      </c>
      <c r="G165" s="7">
        <f>'01 Product Master'!J165</f>
        <v>940</v>
      </c>
      <c r="H165" s="7">
        <f>'01 Product Master'!K165</f>
        <v>940</v>
      </c>
      <c r="I165" s="1"/>
    </row>
    <row r="166" spans="1:9" ht="16" x14ac:dyDescent="0.2">
      <c r="A166" s="1" t="str">
        <f>'01 Product Master'!A166</f>
        <v>SN-0165</v>
      </c>
      <c r="B166" s="1" t="str">
        <f>'01 Product Master'!C166</f>
        <v>Basreng Ori Daun Jeruk</v>
      </c>
      <c r="C166" s="1">
        <f>'01 Product Master'!E166</f>
        <v>0</v>
      </c>
      <c r="D166" s="7">
        <f>'01 Product Master'!G166</f>
        <v>0</v>
      </c>
      <c r="E166" s="7">
        <f>'01 Product Master'!H166</f>
        <v>0</v>
      </c>
      <c r="F166" s="7">
        <f>'01 Product Master'!I166</f>
        <v>0</v>
      </c>
      <c r="G166" s="7" t="str">
        <f>'01 Product Master'!J166</f>
        <v/>
      </c>
      <c r="H166" s="7" t="str">
        <f>'01 Product Master'!K166</f>
        <v/>
      </c>
      <c r="I166" s="1"/>
    </row>
    <row r="167" spans="1:9" ht="16" x14ac:dyDescent="0.2">
      <c r="A167" s="1" t="str">
        <f>'01 Product Master'!A167</f>
        <v>SN-0166</v>
      </c>
      <c r="B167" s="1" t="str">
        <f>'01 Product Master'!C167</f>
        <v>Basreng Pedas Daun Jeruk</v>
      </c>
      <c r="C167" s="1">
        <f>'01 Product Master'!E167</f>
        <v>0</v>
      </c>
      <c r="D167" s="7">
        <f>'01 Product Master'!G167</f>
        <v>0</v>
      </c>
      <c r="E167" s="7">
        <f>'01 Product Master'!H167</f>
        <v>0</v>
      </c>
      <c r="F167" s="7">
        <f>'01 Product Master'!I167</f>
        <v>0</v>
      </c>
      <c r="G167" s="7" t="str">
        <f>'01 Product Master'!J167</f>
        <v/>
      </c>
      <c r="H167" s="7" t="str">
        <f>'01 Product Master'!K167</f>
        <v/>
      </c>
      <c r="I167" s="1"/>
    </row>
    <row r="168" spans="1:9" ht="16" x14ac:dyDescent="0.2">
      <c r="A168" s="1" t="str">
        <f>'01 Product Master'!A168</f>
        <v>SN-0167</v>
      </c>
      <c r="B168" s="1" t="str">
        <f>'01 Product Master'!C168</f>
        <v>Basreng Ekstra Pedas Daun Jeruk</v>
      </c>
      <c r="C168" s="1">
        <f>'01 Product Master'!E168</f>
        <v>0</v>
      </c>
      <c r="D168" s="7">
        <f>'01 Product Master'!G168</f>
        <v>0</v>
      </c>
      <c r="E168" s="7">
        <f>'01 Product Master'!H168</f>
        <v>0</v>
      </c>
      <c r="F168" s="7">
        <f>'01 Product Master'!I168</f>
        <v>0</v>
      </c>
      <c r="G168" s="7" t="str">
        <f>'01 Product Master'!J168</f>
        <v/>
      </c>
      <c r="H168" s="7" t="str">
        <f>'01 Product Master'!K168</f>
        <v/>
      </c>
      <c r="I168" s="1"/>
    </row>
    <row r="169" spans="1:9" ht="16" x14ac:dyDescent="0.2">
      <c r="A169" s="1" t="str">
        <f>'01 Product Master'!A169</f>
        <v>SN-0168</v>
      </c>
      <c r="B169" s="1" t="str">
        <f>'01 Product Master'!C169</f>
        <v>Malkist Abon</v>
      </c>
      <c r="C169" s="1">
        <f>'01 Product Master'!E169</f>
        <v>0</v>
      </c>
      <c r="D169" s="7">
        <f>'01 Product Master'!G169</f>
        <v>0</v>
      </c>
      <c r="E169" s="7">
        <f>'01 Product Master'!H169</f>
        <v>0</v>
      </c>
      <c r="F169" s="7">
        <f>'01 Product Master'!I169</f>
        <v>0</v>
      </c>
      <c r="G169" s="7" t="str">
        <f>'01 Product Master'!J169</f>
        <v/>
      </c>
      <c r="H169" s="7" t="str">
        <f>'01 Product Master'!K169</f>
        <v/>
      </c>
      <c r="I169" s="1"/>
    </row>
    <row r="170" spans="1:9" ht="16" x14ac:dyDescent="0.2">
      <c r="A170" s="1" t="str">
        <f>'01 Product Master'!A170</f>
        <v>SN-0169</v>
      </c>
      <c r="B170" s="1" t="str">
        <f>'01 Product Master'!C170</f>
        <v>Malkist Roma</v>
      </c>
      <c r="C170" s="1">
        <f>'01 Product Master'!E170</f>
        <v>0</v>
      </c>
      <c r="D170" s="7">
        <f>'01 Product Master'!G170</f>
        <v>0</v>
      </c>
      <c r="E170" s="7">
        <f>'01 Product Master'!H170</f>
        <v>0</v>
      </c>
      <c r="F170" s="7">
        <f>'01 Product Master'!I170</f>
        <v>0</v>
      </c>
      <c r="G170" s="7" t="str">
        <f>'01 Product Master'!J170</f>
        <v/>
      </c>
      <c r="H170" s="7" t="str">
        <f>'01 Product Master'!K170</f>
        <v/>
      </c>
      <c r="I170" s="1"/>
    </row>
    <row r="171" spans="1:9" ht="16" x14ac:dyDescent="0.2">
      <c r="A171" s="1" t="str">
        <f>'01 Product Master'!A171</f>
        <v>SN-0170</v>
      </c>
      <c r="B171" s="1" t="str">
        <f>'01 Product Master'!C171</f>
        <v>Beng-beng</v>
      </c>
      <c r="C171" s="1">
        <f>'01 Product Master'!E171</f>
        <v>0</v>
      </c>
      <c r="D171" s="7">
        <f>'01 Product Master'!G171</f>
        <v>0</v>
      </c>
      <c r="E171" s="7">
        <f>'01 Product Master'!H171</f>
        <v>0</v>
      </c>
      <c r="F171" s="7">
        <f>'01 Product Master'!I171</f>
        <v>0</v>
      </c>
      <c r="G171" s="7" t="str">
        <f>'01 Product Master'!J171</f>
        <v/>
      </c>
      <c r="H171" s="7" t="str">
        <f>'01 Product Master'!K171</f>
        <v/>
      </c>
      <c r="I171" s="1"/>
    </row>
    <row r="172" spans="1:9" ht="16" x14ac:dyDescent="0.2">
      <c r="A172" s="1" t="str">
        <f>'01 Product Master'!A172</f>
        <v>SN-0171</v>
      </c>
      <c r="B172" s="1" t="str">
        <f>'01 Product Master'!C172</f>
        <v>TicTac Sapi</v>
      </c>
      <c r="C172" s="1">
        <f>'01 Product Master'!E172</f>
        <v>0</v>
      </c>
      <c r="D172" s="7">
        <f>'01 Product Master'!G172</f>
        <v>0</v>
      </c>
      <c r="E172" s="7">
        <f>'01 Product Master'!H172</f>
        <v>0</v>
      </c>
      <c r="F172" s="7">
        <f>'01 Product Master'!I172</f>
        <v>0</v>
      </c>
      <c r="G172" s="7" t="str">
        <f>'01 Product Master'!J172</f>
        <v/>
      </c>
      <c r="H172" s="7" t="str">
        <f>'01 Product Master'!K172</f>
        <v/>
      </c>
      <c r="I172" s="1"/>
    </row>
    <row r="173" spans="1:9" ht="16" x14ac:dyDescent="0.2">
      <c r="A173" s="1" t="str">
        <f>'01 Product Master'!A173</f>
        <v>SN-0172</v>
      </c>
      <c r="B173" s="1" t="str">
        <f>'01 Product Master'!C173</f>
        <v>TicTac Rumput Laut</v>
      </c>
      <c r="C173" s="1">
        <f>'01 Product Master'!E173</f>
        <v>0</v>
      </c>
      <c r="D173" s="7">
        <f>'01 Product Master'!G173</f>
        <v>0</v>
      </c>
      <c r="E173" s="7">
        <f>'01 Product Master'!H173</f>
        <v>0</v>
      </c>
      <c r="F173" s="7">
        <f>'01 Product Master'!I173</f>
        <v>0</v>
      </c>
      <c r="G173" s="7" t="str">
        <f>'01 Product Master'!J173</f>
        <v/>
      </c>
      <c r="H173" s="7" t="str">
        <f>'01 Product Master'!K173</f>
        <v/>
      </c>
      <c r="I173" s="1"/>
    </row>
    <row r="174" spans="1:9" ht="16" x14ac:dyDescent="0.2">
      <c r="A174" s="1" t="str">
        <f>'01 Product Master'!A174</f>
        <v>SN-0173</v>
      </c>
      <c r="B174" s="1" t="str">
        <f>'01 Product Master'!C174</f>
        <v>TicTac Pedas</v>
      </c>
      <c r="C174" s="1">
        <f>'01 Product Master'!E174</f>
        <v>0</v>
      </c>
      <c r="D174" s="7">
        <f>'01 Product Master'!G174</f>
        <v>0</v>
      </c>
      <c r="E174" s="7">
        <f>'01 Product Master'!H174</f>
        <v>0</v>
      </c>
      <c r="F174" s="7">
        <f>'01 Product Master'!I174</f>
        <v>0</v>
      </c>
      <c r="G174" s="7" t="str">
        <f>'01 Product Master'!J174</f>
        <v/>
      </c>
      <c r="H174" s="7" t="str">
        <f>'01 Product Master'!K174</f>
        <v/>
      </c>
      <c r="I174" s="1"/>
    </row>
    <row r="175" spans="1:9" ht="16" x14ac:dyDescent="0.2">
      <c r="A175" s="1" t="str">
        <f>'01 Product Master'!A175</f>
        <v>SN-0174</v>
      </c>
      <c r="B175" s="1" t="str">
        <f>'01 Product Master'!C175</f>
        <v>TicTac Original</v>
      </c>
      <c r="C175" s="1">
        <f>'01 Product Master'!E175</f>
        <v>0</v>
      </c>
      <c r="D175" s="7">
        <f>'01 Product Master'!G175</f>
        <v>0</v>
      </c>
      <c r="E175" s="7">
        <f>'01 Product Master'!H175</f>
        <v>0</v>
      </c>
      <c r="F175" s="7">
        <f>'01 Product Master'!I175</f>
        <v>0</v>
      </c>
      <c r="G175" s="7" t="str">
        <f>'01 Product Master'!J175</f>
        <v/>
      </c>
      <c r="H175" s="7" t="str">
        <f>'01 Product Master'!K175</f>
        <v/>
      </c>
      <c r="I175" s="1"/>
    </row>
    <row r="176" spans="1:9" ht="16" x14ac:dyDescent="0.2">
      <c r="A176" s="1" t="str">
        <f>'01 Product Master'!A176</f>
        <v>SN-0175</v>
      </c>
      <c r="B176" s="1" t="str">
        <f>'01 Product Master'!C176</f>
        <v>Garuda Atom Original</v>
      </c>
      <c r="C176" s="1">
        <f>'01 Product Master'!E176</f>
        <v>0</v>
      </c>
      <c r="D176" s="7">
        <f>'01 Product Master'!G176</f>
        <v>0</v>
      </c>
      <c r="E176" s="7">
        <f>'01 Product Master'!H176</f>
        <v>0</v>
      </c>
      <c r="F176" s="7">
        <f>'01 Product Master'!I176</f>
        <v>0</v>
      </c>
      <c r="G176" s="7" t="str">
        <f>'01 Product Master'!J176</f>
        <v/>
      </c>
      <c r="H176" s="7" t="str">
        <f>'01 Product Master'!K176</f>
        <v/>
      </c>
      <c r="I176" s="1"/>
    </row>
    <row r="177" spans="1:9" ht="16" x14ac:dyDescent="0.2">
      <c r="A177" s="1" t="str">
        <f>'01 Product Master'!A177</f>
        <v>SN-0176</v>
      </c>
      <c r="B177" s="1" t="str">
        <f>'01 Product Master'!C177</f>
        <v>Garuda Atom Pedas</v>
      </c>
      <c r="C177" s="1">
        <f>'01 Product Master'!E177</f>
        <v>0</v>
      </c>
      <c r="D177" s="7">
        <f>'01 Product Master'!G177</f>
        <v>0</v>
      </c>
      <c r="E177" s="7">
        <f>'01 Product Master'!H177</f>
        <v>0</v>
      </c>
      <c r="F177" s="7">
        <f>'01 Product Master'!I177</f>
        <v>0</v>
      </c>
      <c r="G177" s="7" t="str">
        <f>'01 Product Master'!J177</f>
        <v/>
      </c>
      <c r="H177" s="7" t="str">
        <f>'01 Product Master'!K177</f>
        <v/>
      </c>
      <c r="I177" s="1"/>
    </row>
    <row r="178" spans="1:9" ht="16" x14ac:dyDescent="0.2">
      <c r="A178" s="1" t="str">
        <f>'01 Product Master'!A178</f>
        <v>SN-0177</v>
      </c>
      <c r="B178" s="1" t="str">
        <f>'01 Product Master'!C178</f>
        <v>Richeese Nabati</v>
      </c>
      <c r="C178" s="1">
        <f>'01 Product Master'!E178</f>
        <v>0</v>
      </c>
      <c r="D178" s="7">
        <f>'01 Product Master'!G178</f>
        <v>0</v>
      </c>
      <c r="E178" s="7">
        <f>'01 Product Master'!H178</f>
        <v>0</v>
      </c>
      <c r="F178" s="7">
        <f>'01 Product Master'!I178</f>
        <v>0</v>
      </c>
      <c r="G178" s="7" t="str">
        <f>'01 Product Master'!J178</f>
        <v/>
      </c>
      <c r="H178" s="7" t="str">
        <f>'01 Product Master'!K178</f>
        <v/>
      </c>
      <c r="I178" s="1"/>
    </row>
    <row r="179" spans="1:9" ht="16" x14ac:dyDescent="0.2">
      <c r="A179" s="1" t="str">
        <f>'01 Product Master'!A179</f>
        <v>SN-0178</v>
      </c>
      <c r="B179" s="1" t="str">
        <f>'01 Product Master'!C179</f>
        <v>Richeese Nabati Cokelat</v>
      </c>
      <c r="C179" s="1">
        <f>'01 Product Master'!E179</f>
        <v>0</v>
      </c>
      <c r="D179" s="7">
        <f>'01 Product Master'!G179</f>
        <v>0</v>
      </c>
      <c r="E179" s="7">
        <f>'01 Product Master'!H179</f>
        <v>0</v>
      </c>
      <c r="F179" s="7">
        <f>'01 Product Master'!I179</f>
        <v>0</v>
      </c>
      <c r="G179" s="7" t="str">
        <f>'01 Product Master'!J179</f>
        <v/>
      </c>
      <c r="H179" s="7" t="str">
        <f>'01 Product Master'!K179</f>
        <v/>
      </c>
      <c r="I179" s="1"/>
    </row>
    <row r="180" spans="1:9" ht="16" x14ac:dyDescent="0.2">
      <c r="A180" s="1" t="str">
        <f>'01 Product Master'!A180</f>
        <v>SN-0179</v>
      </c>
      <c r="B180" s="1" t="str">
        <f>'01 Product Master'!C180</f>
        <v>Coki-Coki</v>
      </c>
      <c r="C180" s="1">
        <f>'01 Product Master'!E180</f>
        <v>0</v>
      </c>
      <c r="D180" s="7">
        <f>'01 Product Master'!G180</f>
        <v>0</v>
      </c>
      <c r="E180" s="7">
        <f>'01 Product Master'!H180</f>
        <v>0</v>
      </c>
      <c r="F180" s="7">
        <f>'01 Product Master'!I180</f>
        <v>0</v>
      </c>
      <c r="G180" s="7" t="str">
        <f>'01 Product Master'!J180</f>
        <v/>
      </c>
      <c r="H180" s="7" t="str">
        <f>'01 Product Master'!K180</f>
        <v/>
      </c>
      <c r="I180" s="1"/>
    </row>
    <row r="181" spans="1:9" ht="16" x14ac:dyDescent="0.2">
      <c r="A181" s="1" t="str">
        <f>'01 Product Master'!A181</f>
        <v>SN-0180</v>
      </c>
      <c r="B181" s="1">
        <f>'01 Product Master'!C181</f>
        <v>0</v>
      </c>
      <c r="C181" s="1">
        <f>'01 Product Master'!E181</f>
        <v>0</v>
      </c>
      <c r="D181" s="7">
        <f>'01 Product Master'!G181</f>
        <v>0</v>
      </c>
      <c r="E181" s="7">
        <f>'01 Product Master'!H181</f>
        <v>0</v>
      </c>
      <c r="F181" s="7">
        <f>'01 Product Master'!I181</f>
        <v>0</v>
      </c>
      <c r="G181" s="7" t="str">
        <f>'01 Product Master'!J181</f>
        <v/>
      </c>
      <c r="H181" s="7" t="str">
        <f>'01 Product Master'!K181</f>
        <v/>
      </c>
      <c r="I181" s="1"/>
    </row>
    <row r="182" spans="1:9" ht="16" x14ac:dyDescent="0.2">
      <c r="A182" s="1" t="str">
        <f>'01 Product Master'!A182</f>
        <v>SN-0181</v>
      </c>
      <c r="B182" s="1">
        <f>'01 Product Master'!C182</f>
        <v>0</v>
      </c>
      <c r="C182" s="1">
        <f>'01 Product Master'!E182</f>
        <v>0</v>
      </c>
      <c r="D182" s="7">
        <f>'01 Product Master'!G182</f>
        <v>0</v>
      </c>
      <c r="E182" s="7">
        <f>'01 Product Master'!H182</f>
        <v>0</v>
      </c>
      <c r="F182" s="7">
        <f>'01 Product Master'!I182</f>
        <v>0</v>
      </c>
      <c r="G182" s="7" t="str">
        <f>'01 Product Master'!J182</f>
        <v/>
      </c>
      <c r="H182" s="7" t="str">
        <f>'01 Product Master'!K182</f>
        <v/>
      </c>
      <c r="I182" s="1"/>
    </row>
    <row r="183" spans="1:9" ht="16" x14ac:dyDescent="0.2">
      <c r="A183" s="1" t="str">
        <f>'01 Product Master'!A183</f>
        <v>SN-0182</v>
      </c>
      <c r="B183" s="1">
        <f>'01 Product Master'!C183</f>
        <v>0</v>
      </c>
      <c r="C183" s="1">
        <f>'01 Product Master'!E183</f>
        <v>0</v>
      </c>
      <c r="D183" s="7">
        <f>'01 Product Master'!G183</f>
        <v>0</v>
      </c>
      <c r="E183" s="7">
        <f>'01 Product Master'!H183</f>
        <v>0</v>
      </c>
      <c r="F183" s="7">
        <f>'01 Product Master'!I183</f>
        <v>0</v>
      </c>
      <c r="G183" s="7" t="str">
        <f>'01 Product Master'!J183</f>
        <v/>
      </c>
      <c r="H183" s="7" t="str">
        <f>'01 Product Master'!K183</f>
        <v/>
      </c>
      <c r="I183" s="1"/>
    </row>
    <row r="184" spans="1:9" ht="16" x14ac:dyDescent="0.2">
      <c r="A184" s="1" t="str">
        <f>'01 Product Master'!A184</f>
        <v>SN-0183</v>
      </c>
      <c r="B184" s="1">
        <f>'01 Product Master'!C184</f>
        <v>0</v>
      </c>
      <c r="C184" s="1">
        <f>'01 Product Master'!E184</f>
        <v>0</v>
      </c>
      <c r="D184" s="7">
        <f>'01 Product Master'!G184</f>
        <v>0</v>
      </c>
      <c r="E184" s="7">
        <f>'01 Product Master'!H184</f>
        <v>0</v>
      </c>
      <c r="F184" s="7">
        <f>'01 Product Master'!I184</f>
        <v>0</v>
      </c>
      <c r="G184" s="7" t="str">
        <f>'01 Product Master'!J184</f>
        <v/>
      </c>
      <c r="H184" s="7" t="str">
        <f>'01 Product Master'!K184</f>
        <v/>
      </c>
      <c r="I184" s="1"/>
    </row>
    <row r="185" spans="1:9" ht="16" x14ac:dyDescent="0.2">
      <c r="A185" s="1" t="str">
        <f>'01 Product Master'!A185</f>
        <v>SN-0184</v>
      </c>
      <c r="B185" s="1">
        <f>'01 Product Master'!C185</f>
        <v>0</v>
      </c>
      <c r="C185" s="1">
        <f>'01 Product Master'!E185</f>
        <v>0</v>
      </c>
      <c r="D185" s="7">
        <f>'01 Product Master'!G185</f>
        <v>0</v>
      </c>
      <c r="E185" s="7">
        <f>'01 Product Master'!H185</f>
        <v>0</v>
      </c>
      <c r="F185" s="7">
        <f>'01 Product Master'!I185</f>
        <v>0</v>
      </c>
      <c r="G185" s="7" t="str">
        <f>'01 Product Master'!J185</f>
        <v/>
      </c>
      <c r="H185" s="7" t="str">
        <f>'01 Product Master'!K185</f>
        <v/>
      </c>
      <c r="I185" s="1"/>
    </row>
    <row r="186" spans="1:9" ht="16" x14ac:dyDescent="0.2">
      <c r="A186" s="1" t="str">
        <f>'01 Product Master'!A186</f>
        <v>SN-0185</v>
      </c>
      <c r="B186" s="1">
        <f>'01 Product Master'!C186</f>
        <v>0</v>
      </c>
      <c r="C186" s="1">
        <f>'01 Product Master'!E186</f>
        <v>0</v>
      </c>
      <c r="D186" s="7">
        <f>'01 Product Master'!G186</f>
        <v>0</v>
      </c>
      <c r="E186" s="7">
        <f>'01 Product Master'!H186</f>
        <v>0</v>
      </c>
      <c r="F186" s="7">
        <f>'01 Product Master'!I186</f>
        <v>0</v>
      </c>
      <c r="G186" s="7" t="str">
        <f>'01 Product Master'!J186</f>
        <v/>
      </c>
      <c r="H186" s="7" t="str">
        <f>'01 Product Master'!K186</f>
        <v/>
      </c>
      <c r="I186" s="1"/>
    </row>
    <row r="187" spans="1:9" ht="16" x14ac:dyDescent="0.2">
      <c r="A187" s="1" t="str">
        <f>'01 Product Master'!A187</f>
        <v>SN-0186</v>
      </c>
      <c r="B187" s="1">
        <f>'01 Product Master'!C187</f>
        <v>0</v>
      </c>
      <c r="C187" s="1">
        <f>'01 Product Master'!E187</f>
        <v>0</v>
      </c>
      <c r="D187" s="7">
        <f>'01 Product Master'!G187</f>
        <v>0</v>
      </c>
      <c r="E187" s="7">
        <f>'01 Product Master'!H187</f>
        <v>0</v>
      </c>
      <c r="F187" s="7">
        <f>'01 Product Master'!I187</f>
        <v>0</v>
      </c>
      <c r="G187" s="7" t="str">
        <f>'01 Product Master'!J187</f>
        <v/>
      </c>
      <c r="H187" s="7" t="str">
        <f>'01 Product Master'!K187</f>
        <v/>
      </c>
      <c r="I187" s="1"/>
    </row>
    <row r="188" spans="1:9" ht="16" x14ac:dyDescent="0.2">
      <c r="A188" s="1" t="str">
        <f>'01 Product Master'!A188</f>
        <v>SN-0187</v>
      </c>
      <c r="B188" s="1">
        <f>'01 Product Master'!C188</f>
        <v>0</v>
      </c>
      <c r="C188" s="1">
        <f>'01 Product Master'!E188</f>
        <v>0</v>
      </c>
      <c r="D188" s="7">
        <f>'01 Product Master'!G188</f>
        <v>0</v>
      </c>
      <c r="E188" s="7">
        <f>'01 Product Master'!H188</f>
        <v>0</v>
      </c>
      <c r="F188" s="7">
        <f>'01 Product Master'!I188</f>
        <v>0</v>
      </c>
      <c r="G188" s="7" t="str">
        <f>'01 Product Master'!J188</f>
        <v/>
      </c>
      <c r="H188" s="7" t="str">
        <f>'01 Product Master'!K188</f>
        <v/>
      </c>
      <c r="I188" s="1"/>
    </row>
    <row r="189" spans="1:9" ht="16" x14ac:dyDescent="0.2">
      <c r="A189" s="1" t="str">
        <f>'01 Product Master'!A189</f>
        <v>SN-0188</v>
      </c>
      <c r="B189" s="1">
        <f>'01 Product Master'!C189</f>
        <v>0</v>
      </c>
      <c r="C189" s="1">
        <f>'01 Product Master'!E189</f>
        <v>0</v>
      </c>
      <c r="D189" s="7">
        <f>'01 Product Master'!G189</f>
        <v>0</v>
      </c>
      <c r="E189" s="7">
        <f>'01 Product Master'!H189</f>
        <v>0</v>
      </c>
      <c r="F189" s="7">
        <f>'01 Product Master'!I189</f>
        <v>0</v>
      </c>
      <c r="G189" s="7" t="str">
        <f>'01 Product Master'!J189</f>
        <v/>
      </c>
      <c r="H189" s="7" t="str">
        <f>'01 Product Master'!K189</f>
        <v/>
      </c>
      <c r="I189" s="1"/>
    </row>
    <row r="190" spans="1:9" ht="16" x14ac:dyDescent="0.2">
      <c r="A190" s="1" t="str">
        <f>'01 Product Master'!A190</f>
        <v>SN-0189</v>
      </c>
      <c r="B190" s="1">
        <f>'01 Product Master'!C190</f>
        <v>0</v>
      </c>
      <c r="C190" s="1">
        <f>'01 Product Master'!E190</f>
        <v>0</v>
      </c>
      <c r="D190" s="7">
        <f>'01 Product Master'!G190</f>
        <v>0</v>
      </c>
      <c r="E190" s="7">
        <f>'01 Product Master'!H190</f>
        <v>0</v>
      </c>
      <c r="F190" s="7">
        <f>'01 Product Master'!I190</f>
        <v>0</v>
      </c>
      <c r="G190" s="7" t="str">
        <f>'01 Product Master'!J190</f>
        <v/>
      </c>
      <c r="H190" s="7" t="str">
        <f>'01 Product Master'!K190</f>
        <v/>
      </c>
      <c r="I190" s="1"/>
    </row>
    <row r="191" spans="1:9" ht="16" x14ac:dyDescent="0.2">
      <c r="A191" s="1" t="str">
        <f>'01 Product Master'!A191</f>
        <v>SN-0190</v>
      </c>
      <c r="B191" s="1">
        <f>'01 Product Master'!C191</f>
        <v>0</v>
      </c>
      <c r="C191" s="1">
        <f>'01 Product Master'!E191</f>
        <v>0</v>
      </c>
      <c r="D191" s="7">
        <f>'01 Product Master'!G191</f>
        <v>0</v>
      </c>
      <c r="E191" s="7">
        <f>'01 Product Master'!H191</f>
        <v>0</v>
      </c>
      <c r="F191" s="7">
        <f>'01 Product Master'!I191</f>
        <v>0</v>
      </c>
      <c r="G191" s="7" t="str">
        <f>'01 Product Master'!J191</f>
        <v/>
      </c>
      <c r="H191" s="7" t="str">
        <f>'01 Product Master'!K191</f>
        <v/>
      </c>
      <c r="I191" s="1"/>
    </row>
    <row r="192" spans="1:9" ht="16" x14ac:dyDescent="0.2">
      <c r="A192" s="1" t="str">
        <f>'01 Product Master'!A192</f>
        <v>SN-0191</v>
      </c>
      <c r="B192" s="1">
        <f>'01 Product Master'!C192</f>
        <v>0</v>
      </c>
      <c r="C192" s="1">
        <f>'01 Product Master'!E192</f>
        <v>0</v>
      </c>
      <c r="D192" s="7">
        <f>'01 Product Master'!G192</f>
        <v>0</v>
      </c>
      <c r="E192" s="7">
        <f>'01 Product Master'!H192</f>
        <v>0</v>
      </c>
      <c r="F192" s="7">
        <f>'01 Product Master'!I192</f>
        <v>0</v>
      </c>
      <c r="G192" s="7" t="str">
        <f>'01 Product Master'!J192</f>
        <v/>
      </c>
      <c r="H192" s="7" t="str">
        <f>'01 Product Master'!K192</f>
        <v/>
      </c>
      <c r="I192" s="1"/>
    </row>
    <row r="193" spans="1:9" ht="16" x14ac:dyDescent="0.2">
      <c r="A193" s="1" t="str">
        <f>'01 Product Master'!A193</f>
        <v>SN-0192</v>
      </c>
      <c r="B193" s="1">
        <f>'01 Product Master'!C193</f>
        <v>0</v>
      </c>
      <c r="C193" s="1">
        <f>'01 Product Master'!E193</f>
        <v>0</v>
      </c>
      <c r="D193" s="7">
        <f>'01 Product Master'!G193</f>
        <v>0</v>
      </c>
      <c r="E193" s="7">
        <f>'01 Product Master'!H193</f>
        <v>0</v>
      </c>
      <c r="F193" s="7">
        <f>'01 Product Master'!I193</f>
        <v>0</v>
      </c>
      <c r="G193" s="7" t="str">
        <f>'01 Product Master'!J193</f>
        <v/>
      </c>
      <c r="H193" s="7" t="str">
        <f>'01 Product Master'!K193</f>
        <v/>
      </c>
      <c r="I193" s="1"/>
    </row>
    <row r="194" spans="1:9" ht="16" x14ac:dyDescent="0.2">
      <c r="A194" s="1" t="str">
        <f>'01 Product Master'!A194</f>
        <v>SN-0193</v>
      </c>
      <c r="B194" s="1">
        <f>'01 Product Master'!C194</f>
        <v>0</v>
      </c>
      <c r="C194" s="1">
        <f>'01 Product Master'!E194</f>
        <v>0</v>
      </c>
      <c r="D194" s="7">
        <f>'01 Product Master'!G194</f>
        <v>0</v>
      </c>
      <c r="E194" s="7">
        <f>'01 Product Master'!H194</f>
        <v>0</v>
      </c>
      <c r="F194" s="7">
        <f>'01 Product Master'!I194</f>
        <v>0</v>
      </c>
      <c r="G194" s="7" t="str">
        <f>'01 Product Master'!J194</f>
        <v/>
      </c>
      <c r="H194" s="7" t="str">
        <f>'01 Product Master'!K194</f>
        <v/>
      </c>
      <c r="I194" s="1"/>
    </row>
    <row r="195" spans="1:9" ht="16" x14ac:dyDescent="0.2">
      <c r="A195" s="1" t="str">
        <f>'01 Product Master'!A195</f>
        <v>SN-0194</v>
      </c>
      <c r="B195" s="1">
        <f>'01 Product Master'!C195</f>
        <v>0</v>
      </c>
      <c r="C195" s="1">
        <f>'01 Product Master'!E195</f>
        <v>0</v>
      </c>
      <c r="D195" s="7">
        <f>'01 Product Master'!G195</f>
        <v>0</v>
      </c>
      <c r="E195" s="7">
        <f>'01 Product Master'!H195</f>
        <v>0</v>
      </c>
      <c r="F195" s="7">
        <f>'01 Product Master'!I195</f>
        <v>0</v>
      </c>
      <c r="G195" s="7" t="str">
        <f>'01 Product Master'!J195</f>
        <v/>
      </c>
      <c r="H195" s="7" t="str">
        <f>'01 Product Master'!K195</f>
        <v/>
      </c>
      <c r="I195" s="1"/>
    </row>
    <row r="196" spans="1:9" ht="16" x14ac:dyDescent="0.2">
      <c r="A196" s="1" t="str">
        <f>'01 Product Master'!A196</f>
        <v>SN-0195</v>
      </c>
      <c r="B196" s="1">
        <f>'01 Product Master'!C196</f>
        <v>0</v>
      </c>
      <c r="C196" s="1">
        <f>'01 Product Master'!E196</f>
        <v>0</v>
      </c>
      <c r="D196" s="7">
        <f>'01 Product Master'!G196</f>
        <v>0</v>
      </c>
      <c r="E196" s="7">
        <f>'01 Product Master'!H196</f>
        <v>0</v>
      </c>
      <c r="F196" s="7">
        <f>'01 Product Master'!I196</f>
        <v>0</v>
      </c>
      <c r="G196" s="7" t="str">
        <f>'01 Product Master'!J196</f>
        <v/>
      </c>
      <c r="H196" s="7" t="str">
        <f>'01 Product Master'!K196</f>
        <v/>
      </c>
      <c r="I196" s="1"/>
    </row>
    <row r="197" spans="1:9" ht="16" x14ac:dyDescent="0.2">
      <c r="A197" s="1" t="str">
        <f>'01 Product Master'!A197</f>
        <v>SN-0196</v>
      </c>
      <c r="B197" s="1">
        <f>'01 Product Master'!C197</f>
        <v>0</v>
      </c>
      <c r="C197" s="1">
        <f>'01 Product Master'!E197</f>
        <v>0</v>
      </c>
      <c r="D197" s="7">
        <f>'01 Product Master'!G197</f>
        <v>0</v>
      </c>
      <c r="E197" s="7">
        <f>'01 Product Master'!H197</f>
        <v>0</v>
      </c>
      <c r="F197" s="7">
        <f>'01 Product Master'!I197</f>
        <v>0</v>
      </c>
      <c r="G197" s="7" t="str">
        <f>'01 Product Master'!J197</f>
        <v/>
      </c>
      <c r="H197" s="7" t="str">
        <f>'01 Product Master'!K197</f>
        <v/>
      </c>
      <c r="I197" s="1"/>
    </row>
    <row r="198" spans="1:9" ht="16" x14ac:dyDescent="0.2">
      <c r="A198" s="1" t="str">
        <f>'01 Product Master'!A198</f>
        <v>SN-0197</v>
      </c>
      <c r="B198" s="1">
        <f>'01 Product Master'!C198</f>
        <v>0</v>
      </c>
      <c r="C198" s="1">
        <f>'01 Product Master'!E198</f>
        <v>0</v>
      </c>
      <c r="D198" s="7">
        <f>'01 Product Master'!G198</f>
        <v>0</v>
      </c>
      <c r="E198" s="7">
        <f>'01 Product Master'!H198</f>
        <v>0</v>
      </c>
      <c r="F198" s="7">
        <f>'01 Product Master'!I198</f>
        <v>0</v>
      </c>
      <c r="G198" s="7" t="str">
        <f>'01 Product Master'!J198</f>
        <v/>
      </c>
      <c r="H198" s="7" t="str">
        <f>'01 Product Master'!K198</f>
        <v/>
      </c>
      <c r="I198" s="1"/>
    </row>
    <row r="199" spans="1:9" ht="16" x14ac:dyDescent="0.2">
      <c r="A199" s="1" t="str">
        <f>'01 Product Master'!A199</f>
        <v>SN-0198</v>
      </c>
      <c r="B199" s="1">
        <f>'01 Product Master'!C199</f>
        <v>0</v>
      </c>
      <c r="C199" s="1">
        <f>'01 Product Master'!E199</f>
        <v>0</v>
      </c>
      <c r="D199" s="7">
        <f>'01 Product Master'!G199</f>
        <v>0</v>
      </c>
      <c r="E199" s="7">
        <f>'01 Product Master'!H199</f>
        <v>0</v>
      </c>
      <c r="F199" s="7">
        <f>'01 Product Master'!I199</f>
        <v>0</v>
      </c>
      <c r="G199" s="7" t="str">
        <f>'01 Product Master'!J199</f>
        <v/>
      </c>
      <c r="H199" s="7" t="str">
        <f>'01 Product Master'!K199</f>
        <v/>
      </c>
      <c r="I199" s="1"/>
    </row>
    <row r="200" spans="1:9" ht="16" x14ac:dyDescent="0.2">
      <c r="A200" s="1" t="str">
        <f>'01 Product Master'!A200</f>
        <v>SN-0199</v>
      </c>
      <c r="B200" s="1">
        <f>'01 Product Master'!C200</f>
        <v>0</v>
      </c>
      <c r="C200" s="1">
        <f>'01 Product Master'!E200</f>
        <v>0</v>
      </c>
      <c r="D200" s="7">
        <f>'01 Product Master'!G200</f>
        <v>0</v>
      </c>
      <c r="E200" s="7">
        <f>'01 Product Master'!H200</f>
        <v>0</v>
      </c>
      <c r="F200" s="7">
        <f>'01 Product Master'!I200</f>
        <v>0</v>
      </c>
      <c r="G200" s="7" t="str">
        <f>'01 Product Master'!J200</f>
        <v/>
      </c>
      <c r="H200" s="7" t="str">
        <f>'01 Product Master'!K200</f>
        <v/>
      </c>
      <c r="I200" s="1"/>
    </row>
    <row r="201" spans="1:9" ht="16" x14ac:dyDescent="0.2">
      <c r="A201" s="1" t="str">
        <f>'01 Product Master'!A201</f>
        <v>SN-0200</v>
      </c>
      <c r="B201" s="1">
        <f>'01 Product Master'!C201</f>
        <v>0</v>
      </c>
      <c r="C201" s="1">
        <f>'01 Product Master'!E201</f>
        <v>0</v>
      </c>
      <c r="D201" s="7">
        <f>'01 Product Master'!G201</f>
        <v>0</v>
      </c>
      <c r="E201" s="7">
        <f>'01 Product Master'!H201</f>
        <v>0</v>
      </c>
      <c r="F201" s="7">
        <f>'01 Product Master'!I201</f>
        <v>0</v>
      </c>
      <c r="G201" s="7" t="str">
        <f>'01 Product Master'!J201</f>
        <v/>
      </c>
      <c r="H201" s="7" t="str">
        <f>'01 Product Master'!K201</f>
        <v/>
      </c>
      <c r="I201" s="1"/>
    </row>
    <row r="202" spans="1:9" ht="16" x14ac:dyDescent="0.2">
      <c r="A202" s="1" t="str">
        <f>'01 Product Master'!A202</f>
        <v>SN-0201</v>
      </c>
      <c r="B202" s="1">
        <f>'01 Product Master'!C202</f>
        <v>0</v>
      </c>
      <c r="C202" s="1">
        <f>'01 Product Master'!E202</f>
        <v>0</v>
      </c>
      <c r="D202" s="7">
        <f>'01 Product Master'!G202</f>
        <v>0</v>
      </c>
      <c r="E202" s="7">
        <f>'01 Product Master'!H202</f>
        <v>0</v>
      </c>
      <c r="F202" s="7">
        <f>'01 Product Master'!I202</f>
        <v>0</v>
      </c>
      <c r="G202" s="7" t="str">
        <f>'01 Product Master'!J202</f>
        <v/>
      </c>
      <c r="H202" s="7" t="str">
        <f>'01 Product Master'!K202</f>
        <v/>
      </c>
      <c r="I202" s="1"/>
    </row>
    <row r="203" spans="1:9" ht="16" x14ac:dyDescent="0.2">
      <c r="A203" s="1" t="str">
        <f>'01 Product Master'!A203</f>
        <v>SN-0202</v>
      </c>
      <c r="B203" s="1">
        <f>'01 Product Master'!C203</f>
        <v>0</v>
      </c>
      <c r="C203" s="1">
        <f>'01 Product Master'!E203</f>
        <v>0</v>
      </c>
      <c r="D203" s="7">
        <f>'01 Product Master'!G203</f>
        <v>0</v>
      </c>
      <c r="E203" s="7">
        <f>'01 Product Master'!H203</f>
        <v>0</v>
      </c>
      <c r="F203" s="7">
        <f>'01 Product Master'!I203</f>
        <v>0</v>
      </c>
      <c r="G203" s="7" t="str">
        <f>'01 Product Master'!J203</f>
        <v/>
      </c>
      <c r="H203" s="7" t="str">
        <f>'01 Product Master'!K203</f>
        <v/>
      </c>
      <c r="I203" s="1"/>
    </row>
    <row r="204" spans="1:9" ht="16" x14ac:dyDescent="0.2">
      <c r="A204" s="1" t="str">
        <f>'01 Product Master'!A204</f>
        <v>SN-0203</v>
      </c>
      <c r="B204" s="1">
        <f>'01 Product Master'!C204</f>
        <v>0</v>
      </c>
      <c r="C204" s="1">
        <f>'01 Product Master'!E204</f>
        <v>0</v>
      </c>
      <c r="D204" s="7">
        <f>'01 Product Master'!G204</f>
        <v>0</v>
      </c>
      <c r="E204" s="7">
        <f>'01 Product Master'!H204</f>
        <v>0</v>
      </c>
      <c r="F204" s="7">
        <f>'01 Product Master'!I204</f>
        <v>0</v>
      </c>
      <c r="G204" s="7" t="str">
        <f>'01 Product Master'!J204</f>
        <v/>
      </c>
      <c r="H204" s="7" t="str">
        <f>'01 Product Master'!K204</f>
        <v/>
      </c>
      <c r="I204" s="1"/>
    </row>
    <row r="205" spans="1:9" ht="16" x14ac:dyDescent="0.2">
      <c r="A205" s="1" t="str">
        <f>'01 Product Master'!A205</f>
        <v>SN-0204</v>
      </c>
      <c r="B205" s="1">
        <f>'01 Product Master'!C205</f>
        <v>0</v>
      </c>
      <c r="C205" s="1">
        <f>'01 Product Master'!E205</f>
        <v>0</v>
      </c>
      <c r="D205" s="7">
        <f>'01 Product Master'!G205</f>
        <v>0</v>
      </c>
      <c r="E205" s="7">
        <f>'01 Product Master'!H205</f>
        <v>0</v>
      </c>
      <c r="F205" s="7">
        <f>'01 Product Master'!I205</f>
        <v>0</v>
      </c>
      <c r="G205" s="7" t="str">
        <f>'01 Product Master'!J205</f>
        <v/>
      </c>
      <c r="H205" s="7" t="str">
        <f>'01 Product Master'!K205</f>
        <v/>
      </c>
      <c r="I205" s="1"/>
    </row>
    <row r="206" spans="1:9" ht="16" x14ac:dyDescent="0.2">
      <c r="A206" s="1" t="str">
        <f>'01 Product Master'!A206</f>
        <v>SN-0205</v>
      </c>
      <c r="B206" s="1">
        <f>'01 Product Master'!C206</f>
        <v>0</v>
      </c>
      <c r="C206" s="1">
        <f>'01 Product Master'!E206</f>
        <v>0</v>
      </c>
      <c r="D206" s="7">
        <f>'01 Product Master'!G206</f>
        <v>0</v>
      </c>
      <c r="E206" s="7">
        <f>'01 Product Master'!H206</f>
        <v>0</v>
      </c>
      <c r="F206" s="7">
        <f>'01 Product Master'!I206</f>
        <v>0</v>
      </c>
      <c r="G206" s="7" t="str">
        <f>'01 Product Master'!J206</f>
        <v/>
      </c>
      <c r="H206" s="7" t="str">
        <f>'01 Product Master'!K206</f>
        <v/>
      </c>
      <c r="I206" s="1"/>
    </row>
    <row r="207" spans="1:9" ht="16" x14ac:dyDescent="0.2">
      <c r="A207" s="1" t="str">
        <f>'01 Product Master'!A207</f>
        <v>SN-0206</v>
      </c>
      <c r="B207" s="1">
        <f>'01 Product Master'!C207</f>
        <v>0</v>
      </c>
      <c r="C207" s="1">
        <f>'01 Product Master'!E207</f>
        <v>0</v>
      </c>
      <c r="D207" s="7">
        <f>'01 Product Master'!G207</f>
        <v>0</v>
      </c>
      <c r="E207" s="7">
        <f>'01 Product Master'!H207</f>
        <v>0</v>
      </c>
      <c r="F207" s="7">
        <f>'01 Product Master'!I207</f>
        <v>0</v>
      </c>
      <c r="G207" s="7" t="str">
        <f>'01 Product Master'!J207</f>
        <v/>
      </c>
      <c r="H207" s="7" t="str">
        <f>'01 Product Master'!K207</f>
        <v/>
      </c>
      <c r="I207" s="1"/>
    </row>
    <row r="208" spans="1:9" ht="16" x14ac:dyDescent="0.2">
      <c r="A208" s="1" t="str">
        <f>'01 Product Master'!A208</f>
        <v>SN-0207</v>
      </c>
      <c r="B208" s="1">
        <f>'01 Product Master'!C208</f>
        <v>0</v>
      </c>
      <c r="C208" s="1">
        <f>'01 Product Master'!E208</f>
        <v>0</v>
      </c>
      <c r="D208" s="7">
        <f>'01 Product Master'!G208</f>
        <v>0</v>
      </c>
      <c r="E208" s="7">
        <f>'01 Product Master'!H208</f>
        <v>0</v>
      </c>
      <c r="F208" s="7">
        <f>'01 Product Master'!I208</f>
        <v>0</v>
      </c>
      <c r="G208" s="7" t="str">
        <f>'01 Product Master'!J208</f>
        <v/>
      </c>
      <c r="H208" s="7" t="str">
        <f>'01 Product Master'!K208</f>
        <v/>
      </c>
      <c r="I208" s="1"/>
    </row>
    <row r="209" spans="1:9" ht="16" x14ac:dyDescent="0.2">
      <c r="A209" s="1" t="str">
        <f>'01 Product Master'!A209</f>
        <v>SN-0208</v>
      </c>
      <c r="B209" s="1">
        <f>'01 Product Master'!C209</f>
        <v>0</v>
      </c>
      <c r="C209" s="1">
        <f>'01 Product Master'!E209</f>
        <v>0</v>
      </c>
      <c r="D209" s="7">
        <f>'01 Product Master'!G209</f>
        <v>0</v>
      </c>
      <c r="E209" s="7">
        <f>'01 Product Master'!H209</f>
        <v>0</v>
      </c>
      <c r="F209" s="7">
        <f>'01 Product Master'!I209</f>
        <v>0</v>
      </c>
      <c r="G209" s="7" t="str">
        <f>'01 Product Master'!J209</f>
        <v/>
      </c>
      <c r="H209" s="7" t="str">
        <f>'01 Product Master'!K209</f>
        <v/>
      </c>
      <c r="I209" s="1"/>
    </row>
    <row r="210" spans="1:9" ht="16" x14ac:dyDescent="0.2">
      <c r="A210" s="1" t="str">
        <f>'01 Product Master'!A210</f>
        <v>SN-0209</v>
      </c>
      <c r="B210" s="1">
        <f>'01 Product Master'!C210</f>
        <v>0</v>
      </c>
      <c r="C210" s="1">
        <f>'01 Product Master'!E210</f>
        <v>0</v>
      </c>
      <c r="D210" s="7">
        <f>'01 Product Master'!G210</f>
        <v>0</v>
      </c>
      <c r="E210" s="7">
        <f>'01 Product Master'!H210</f>
        <v>0</v>
      </c>
      <c r="F210" s="7">
        <f>'01 Product Master'!I210</f>
        <v>0</v>
      </c>
      <c r="G210" s="7" t="str">
        <f>'01 Product Master'!J210</f>
        <v/>
      </c>
      <c r="H210" s="7" t="str">
        <f>'01 Product Master'!K210</f>
        <v/>
      </c>
      <c r="I210" s="1"/>
    </row>
    <row r="211" spans="1:9" ht="16" x14ac:dyDescent="0.2">
      <c r="A211" s="1" t="str">
        <f>'01 Product Master'!A211</f>
        <v>SN-0210</v>
      </c>
      <c r="B211" s="1">
        <f>'01 Product Master'!C211</f>
        <v>0</v>
      </c>
      <c r="C211" s="1">
        <f>'01 Product Master'!E211</f>
        <v>0</v>
      </c>
      <c r="D211" s="7">
        <f>'01 Product Master'!G211</f>
        <v>0</v>
      </c>
      <c r="E211" s="7">
        <f>'01 Product Master'!H211</f>
        <v>0</v>
      </c>
      <c r="F211" s="7">
        <f>'01 Product Master'!I211</f>
        <v>0</v>
      </c>
      <c r="G211" s="7" t="str">
        <f>'01 Product Master'!J211</f>
        <v/>
      </c>
      <c r="H211" s="7" t="str">
        <f>'01 Product Master'!K211</f>
        <v/>
      </c>
      <c r="I211" s="1"/>
    </row>
    <row r="212" spans="1:9" ht="16" x14ac:dyDescent="0.2">
      <c r="A212" s="1" t="str">
        <f>'01 Product Master'!A212</f>
        <v>SN-0211</v>
      </c>
      <c r="B212" s="1">
        <f>'01 Product Master'!C212</f>
        <v>0</v>
      </c>
      <c r="C212" s="1">
        <f>'01 Product Master'!E212</f>
        <v>0</v>
      </c>
      <c r="D212" s="7">
        <f>'01 Product Master'!G212</f>
        <v>0</v>
      </c>
      <c r="E212" s="7">
        <f>'01 Product Master'!H212</f>
        <v>0</v>
      </c>
      <c r="F212" s="7">
        <f>'01 Product Master'!I212</f>
        <v>0</v>
      </c>
      <c r="G212" s="7" t="str">
        <f>'01 Product Master'!J212</f>
        <v/>
      </c>
      <c r="H212" s="7" t="str">
        <f>'01 Product Master'!K212</f>
        <v/>
      </c>
      <c r="I212" s="1"/>
    </row>
    <row r="213" spans="1:9" ht="16" x14ac:dyDescent="0.2">
      <c r="A213" s="1" t="str">
        <f>'01 Product Master'!A213</f>
        <v>SN-0212</v>
      </c>
      <c r="B213" s="1">
        <f>'01 Product Master'!C213</f>
        <v>0</v>
      </c>
      <c r="C213" s="1">
        <f>'01 Product Master'!E213</f>
        <v>0</v>
      </c>
      <c r="D213" s="7">
        <f>'01 Product Master'!G213</f>
        <v>0</v>
      </c>
      <c r="E213" s="7">
        <f>'01 Product Master'!H213</f>
        <v>0</v>
      </c>
      <c r="F213" s="7">
        <f>'01 Product Master'!I213</f>
        <v>0</v>
      </c>
      <c r="G213" s="7" t="str">
        <f>'01 Product Master'!J213</f>
        <v/>
      </c>
      <c r="H213" s="7" t="str">
        <f>'01 Product Master'!K213</f>
        <v/>
      </c>
      <c r="I213" s="1"/>
    </row>
    <row r="214" spans="1:9" ht="16" x14ac:dyDescent="0.2">
      <c r="A214" s="1" t="str">
        <f>'01 Product Master'!A214</f>
        <v>SN-0213</v>
      </c>
      <c r="B214" s="1">
        <f>'01 Product Master'!C214</f>
        <v>0</v>
      </c>
      <c r="C214" s="1">
        <f>'01 Product Master'!E214</f>
        <v>0</v>
      </c>
      <c r="D214" s="7">
        <f>'01 Product Master'!G214</f>
        <v>0</v>
      </c>
      <c r="E214" s="7">
        <f>'01 Product Master'!H214</f>
        <v>0</v>
      </c>
      <c r="F214" s="7">
        <f>'01 Product Master'!I214</f>
        <v>0</v>
      </c>
      <c r="G214" s="7" t="str">
        <f>'01 Product Master'!J214</f>
        <v/>
      </c>
      <c r="H214" s="7" t="str">
        <f>'01 Product Master'!K214</f>
        <v/>
      </c>
      <c r="I214" s="1"/>
    </row>
    <row r="215" spans="1:9" ht="16" x14ac:dyDescent="0.2">
      <c r="A215" s="1" t="str">
        <f>'01 Product Master'!A215</f>
        <v>SN-0214</v>
      </c>
      <c r="B215" s="1">
        <f>'01 Product Master'!C215</f>
        <v>0</v>
      </c>
      <c r="C215" s="1">
        <f>'01 Product Master'!E215</f>
        <v>0</v>
      </c>
      <c r="D215" s="7">
        <f>'01 Product Master'!G215</f>
        <v>0</v>
      </c>
      <c r="E215" s="7">
        <f>'01 Product Master'!H215</f>
        <v>0</v>
      </c>
      <c r="F215" s="7">
        <f>'01 Product Master'!I215</f>
        <v>0</v>
      </c>
      <c r="G215" s="7" t="str">
        <f>'01 Product Master'!J215</f>
        <v/>
      </c>
      <c r="H215" s="7" t="str">
        <f>'01 Product Master'!K215</f>
        <v/>
      </c>
      <c r="I215" s="1"/>
    </row>
    <row r="216" spans="1:9" ht="16" x14ac:dyDescent="0.2">
      <c r="A216" s="1" t="str">
        <f>'01 Product Master'!A216</f>
        <v>SN-0215</v>
      </c>
      <c r="B216" s="1">
        <f>'01 Product Master'!C216</f>
        <v>0</v>
      </c>
      <c r="C216" s="1">
        <f>'01 Product Master'!E216</f>
        <v>0</v>
      </c>
      <c r="D216" s="7">
        <f>'01 Product Master'!G216</f>
        <v>0</v>
      </c>
      <c r="E216" s="7">
        <f>'01 Product Master'!H216</f>
        <v>0</v>
      </c>
      <c r="F216" s="7">
        <f>'01 Product Master'!I216</f>
        <v>0</v>
      </c>
      <c r="G216" s="7" t="str">
        <f>'01 Product Master'!J216</f>
        <v/>
      </c>
      <c r="H216" s="7" t="str">
        <f>'01 Product Master'!K216</f>
        <v/>
      </c>
      <c r="I216" s="1"/>
    </row>
    <row r="217" spans="1:9" ht="16" x14ac:dyDescent="0.2">
      <c r="A217" s="1" t="str">
        <f>'01 Product Master'!A217</f>
        <v>SN-0216</v>
      </c>
      <c r="B217" s="1">
        <f>'01 Product Master'!C217</f>
        <v>0</v>
      </c>
      <c r="C217" s="1">
        <f>'01 Product Master'!E217</f>
        <v>0</v>
      </c>
      <c r="D217" s="7">
        <f>'01 Product Master'!G217</f>
        <v>0</v>
      </c>
      <c r="E217" s="7">
        <f>'01 Product Master'!H217</f>
        <v>0</v>
      </c>
      <c r="F217" s="7">
        <f>'01 Product Master'!I217</f>
        <v>0</v>
      </c>
      <c r="G217" s="7" t="str">
        <f>'01 Product Master'!J217</f>
        <v/>
      </c>
      <c r="H217" s="7" t="str">
        <f>'01 Product Master'!K217</f>
        <v/>
      </c>
      <c r="I217" s="1"/>
    </row>
    <row r="218" spans="1:9" ht="16" x14ac:dyDescent="0.2">
      <c r="A218" s="1" t="str">
        <f>'01 Product Master'!A218</f>
        <v>SN-0217</v>
      </c>
      <c r="B218" s="1">
        <f>'01 Product Master'!C218</f>
        <v>0</v>
      </c>
      <c r="C218" s="1">
        <f>'01 Product Master'!E218</f>
        <v>0</v>
      </c>
      <c r="D218" s="7">
        <f>'01 Product Master'!G218</f>
        <v>0</v>
      </c>
      <c r="E218" s="7">
        <f>'01 Product Master'!H218</f>
        <v>0</v>
      </c>
      <c r="F218" s="7">
        <f>'01 Product Master'!I218</f>
        <v>0</v>
      </c>
      <c r="G218" s="7" t="str">
        <f>'01 Product Master'!J218</f>
        <v/>
      </c>
      <c r="H218" s="7" t="str">
        <f>'01 Product Master'!K218</f>
        <v/>
      </c>
      <c r="I218" s="1"/>
    </row>
    <row r="219" spans="1:9" ht="16" x14ac:dyDescent="0.2">
      <c r="A219" s="1" t="str">
        <f>'01 Product Master'!A219</f>
        <v>SN-0218</v>
      </c>
      <c r="B219" s="1">
        <f>'01 Product Master'!C219</f>
        <v>0</v>
      </c>
      <c r="C219" s="1">
        <f>'01 Product Master'!E219</f>
        <v>0</v>
      </c>
      <c r="D219" s="7">
        <f>'01 Product Master'!G219</f>
        <v>0</v>
      </c>
      <c r="E219" s="7">
        <f>'01 Product Master'!H219</f>
        <v>0</v>
      </c>
      <c r="F219" s="7">
        <f>'01 Product Master'!I219</f>
        <v>0</v>
      </c>
      <c r="G219" s="7" t="str">
        <f>'01 Product Master'!J219</f>
        <v/>
      </c>
      <c r="H219" s="7" t="str">
        <f>'01 Product Master'!K219</f>
        <v/>
      </c>
      <c r="I219" s="1"/>
    </row>
    <row r="220" spans="1:9" ht="16" x14ac:dyDescent="0.2">
      <c r="A220" s="1" t="str">
        <f>'01 Product Master'!A220</f>
        <v>SN-0219</v>
      </c>
      <c r="B220" s="1">
        <f>'01 Product Master'!C220</f>
        <v>0</v>
      </c>
      <c r="C220" s="1">
        <f>'01 Product Master'!E220</f>
        <v>0</v>
      </c>
      <c r="D220" s="7">
        <f>'01 Product Master'!G220</f>
        <v>0</v>
      </c>
      <c r="E220" s="7">
        <f>'01 Product Master'!H220</f>
        <v>0</v>
      </c>
      <c r="F220" s="7">
        <f>'01 Product Master'!I220</f>
        <v>0</v>
      </c>
      <c r="G220" s="7" t="str">
        <f>'01 Product Master'!J220</f>
        <v/>
      </c>
      <c r="H220" s="7" t="str">
        <f>'01 Product Master'!K220</f>
        <v/>
      </c>
      <c r="I220" s="1"/>
    </row>
    <row r="221" spans="1:9" ht="16" x14ac:dyDescent="0.2">
      <c r="A221" s="1" t="str">
        <f>'01 Product Master'!A221</f>
        <v>SN-0220</v>
      </c>
      <c r="B221" s="1">
        <f>'01 Product Master'!C221</f>
        <v>0</v>
      </c>
      <c r="C221" s="1">
        <f>'01 Product Master'!E221</f>
        <v>0</v>
      </c>
      <c r="D221" s="7">
        <f>'01 Product Master'!G221</f>
        <v>0</v>
      </c>
      <c r="E221" s="7">
        <f>'01 Product Master'!H221</f>
        <v>0</v>
      </c>
      <c r="F221" s="7">
        <f>'01 Product Master'!I221</f>
        <v>0</v>
      </c>
      <c r="G221" s="7" t="str">
        <f>'01 Product Master'!J221</f>
        <v/>
      </c>
      <c r="H221" s="7" t="str">
        <f>'01 Product Master'!K221</f>
        <v/>
      </c>
      <c r="I221" s="1"/>
    </row>
    <row r="222" spans="1:9" ht="16" x14ac:dyDescent="0.2">
      <c r="A222" s="1" t="str">
        <f>'01 Product Master'!A222</f>
        <v>SN-0221</v>
      </c>
      <c r="B222" s="1">
        <f>'01 Product Master'!C222</f>
        <v>0</v>
      </c>
      <c r="C222" s="1">
        <f>'01 Product Master'!E222</f>
        <v>0</v>
      </c>
      <c r="D222" s="7">
        <f>'01 Product Master'!G222</f>
        <v>0</v>
      </c>
      <c r="E222" s="7">
        <f>'01 Product Master'!H222</f>
        <v>0</v>
      </c>
      <c r="F222" s="7">
        <f>'01 Product Master'!I222</f>
        <v>0</v>
      </c>
      <c r="G222" s="7" t="str">
        <f>'01 Product Master'!J222</f>
        <v/>
      </c>
      <c r="H222" s="7" t="str">
        <f>'01 Product Master'!K222</f>
        <v/>
      </c>
      <c r="I222" s="1"/>
    </row>
    <row r="223" spans="1:9" ht="16" x14ac:dyDescent="0.2">
      <c r="A223" s="1" t="str">
        <f>'01 Product Master'!A223</f>
        <v>SN-0222</v>
      </c>
      <c r="B223" s="1">
        <f>'01 Product Master'!C223</f>
        <v>0</v>
      </c>
      <c r="C223" s="1">
        <f>'01 Product Master'!E223</f>
        <v>0</v>
      </c>
      <c r="D223" s="7">
        <f>'01 Product Master'!G223</f>
        <v>0</v>
      </c>
      <c r="E223" s="7">
        <f>'01 Product Master'!H223</f>
        <v>0</v>
      </c>
      <c r="F223" s="7">
        <f>'01 Product Master'!I223</f>
        <v>0</v>
      </c>
      <c r="G223" s="7" t="str">
        <f>'01 Product Master'!J223</f>
        <v/>
      </c>
      <c r="H223" s="7" t="str">
        <f>'01 Product Master'!K223</f>
        <v/>
      </c>
      <c r="I223" s="1"/>
    </row>
    <row r="224" spans="1:9" ht="16" x14ac:dyDescent="0.2">
      <c r="A224" s="1" t="str">
        <f>'01 Product Master'!A224</f>
        <v>SN-0223</v>
      </c>
      <c r="B224" s="1">
        <f>'01 Product Master'!C224</f>
        <v>0</v>
      </c>
      <c r="C224" s="1">
        <f>'01 Product Master'!E224</f>
        <v>0</v>
      </c>
      <c r="D224" s="7">
        <f>'01 Product Master'!G224</f>
        <v>0</v>
      </c>
      <c r="E224" s="7">
        <f>'01 Product Master'!H224</f>
        <v>0</v>
      </c>
      <c r="F224" s="7">
        <f>'01 Product Master'!I224</f>
        <v>0</v>
      </c>
      <c r="G224" s="7" t="str">
        <f>'01 Product Master'!J224</f>
        <v/>
      </c>
      <c r="H224" s="7" t="str">
        <f>'01 Product Master'!K224</f>
        <v/>
      </c>
      <c r="I224" s="1"/>
    </row>
    <row r="225" spans="1:9" ht="16" x14ac:dyDescent="0.2">
      <c r="A225" s="1" t="str">
        <f>'01 Product Master'!A225</f>
        <v>SN-0224</v>
      </c>
      <c r="B225" s="1">
        <f>'01 Product Master'!C225</f>
        <v>0</v>
      </c>
      <c r="C225" s="1">
        <f>'01 Product Master'!E225</f>
        <v>0</v>
      </c>
      <c r="D225" s="7">
        <f>'01 Product Master'!G225</f>
        <v>0</v>
      </c>
      <c r="E225" s="7">
        <f>'01 Product Master'!H225</f>
        <v>0</v>
      </c>
      <c r="F225" s="7">
        <f>'01 Product Master'!I225</f>
        <v>0</v>
      </c>
      <c r="G225" s="7" t="str">
        <f>'01 Product Master'!J225</f>
        <v/>
      </c>
      <c r="H225" s="7" t="str">
        <f>'01 Product Master'!K225</f>
        <v/>
      </c>
      <c r="I225" s="1"/>
    </row>
    <row r="226" spans="1:9" ht="16" x14ac:dyDescent="0.2">
      <c r="A226" s="1" t="str">
        <f>'01 Product Master'!A226</f>
        <v>SN-0225</v>
      </c>
      <c r="B226" s="1">
        <f>'01 Product Master'!C226</f>
        <v>0</v>
      </c>
      <c r="C226" s="1">
        <f>'01 Product Master'!E226</f>
        <v>0</v>
      </c>
      <c r="D226" s="7">
        <f>'01 Product Master'!G226</f>
        <v>0</v>
      </c>
      <c r="E226" s="7">
        <f>'01 Product Master'!H226</f>
        <v>0</v>
      </c>
      <c r="F226" s="7">
        <f>'01 Product Master'!I226</f>
        <v>0</v>
      </c>
      <c r="G226" s="7" t="str">
        <f>'01 Product Master'!J226</f>
        <v/>
      </c>
      <c r="H226" s="7" t="str">
        <f>'01 Product Master'!K226</f>
        <v/>
      </c>
      <c r="I226" s="1"/>
    </row>
    <row r="227" spans="1:9" ht="16" x14ac:dyDescent="0.2">
      <c r="A227" s="1" t="str">
        <f>'01 Product Master'!A227</f>
        <v>SN-0226</v>
      </c>
      <c r="B227" s="1">
        <f>'01 Product Master'!C227</f>
        <v>0</v>
      </c>
      <c r="C227" s="1">
        <f>'01 Product Master'!E227</f>
        <v>0</v>
      </c>
      <c r="D227" s="7">
        <f>'01 Product Master'!G227</f>
        <v>0</v>
      </c>
      <c r="E227" s="7">
        <f>'01 Product Master'!H227</f>
        <v>0</v>
      </c>
      <c r="F227" s="7">
        <f>'01 Product Master'!I227</f>
        <v>0</v>
      </c>
      <c r="G227" s="7" t="str">
        <f>'01 Product Master'!J227</f>
        <v/>
      </c>
      <c r="H227" s="7" t="str">
        <f>'01 Product Master'!K227</f>
        <v/>
      </c>
      <c r="I227" s="1"/>
    </row>
    <row r="228" spans="1:9" ht="16" x14ac:dyDescent="0.2">
      <c r="A228" s="1" t="str">
        <f>'01 Product Master'!A228</f>
        <v>SN-0227</v>
      </c>
      <c r="B228" s="1">
        <f>'01 Product Master'!C228</f>
        <v>0</v>
      </c>
      <c r="C228" s="1">
        <f>'01 Product Master'!E228</f>
        <v>0</v>
      </c>
      <c r="D228" s="7">
        <f>'01 Product Master'!G228</f>
        <v>0</v>
      </c>
      <c r="E228" s="7">
        <f>'01 Product Master'!H228</f>
        <v>0</v>
      </c>
      <c r="F228" s="7">
        <f>'01 Product Master'!I228</f>
        <v>0</v>
      </c>
      <c r="G228" s="7" t="str">
        <f>'01 Product Master'!J228</f>
        <v/>
      </c>
      <c r="H228" s="7" t="str">
        <f>'01 Product Master'!K228</f>
        <v/>
      </c>
      <c r="I228" s="1"/>
    </row>
    <row r="229" spans="1:9" ht="16" x14ac:dyDescent="0.2">
      <c r="A229" s="1" t="str">
        <f>'01 Product Master'!A229</f>
        <v>SN-0228</v>
      </c>
      <c r="B229" s="1">
        <f>'01 Product Master'!C229</f>
        <v>0</v>
      </c>
      <c r="C229" s="1">
        <f>'01 Product Master'!E229</f>
        <v>0</v>
      </c>
      <c r="D229" s="7">
        <f>'01 Product Master'!G229</f>
        <v>0</v>
      </c>
      <c r="E229" s="7">
        <f>'01 Product Master'!H229</f>
        <v>0</v>
      </c>
      <c r="F229" s="7">
        <f>'01 Product Master'!I229</f>
        <v>0</v>
      </c>
      <c r="G229" s="7" t="str">
        <f>'01 Product Master'!J229</f>
        <v/>
      </c>
      <c r="H229" s="7" t="str">
        <f>'01 Product Master'!K229</f>
        <v/>
      </c>
      <c r="I229" s="1"/>
    </row>
    <row r="230" spans="1:9" ht="16" x14ac:dyDescent="0.2">
      <c r="A230" s="1" t="str">
        <f>'01 Product Master'!A230</f>
        <v>SN-0229</v>
      </c>
      <c r="B230" s="1">
        <f>'01 Product Master'!C230</f>
        <v>0</v>
      </c>
      <c r="C230" s="1">
        <f>'01 Product Master'!E230</f>
        <v>0</v>
      </c>
      <c r="D230" s="7">
        <f>'01 Product Master'!G230</f>
        <v>0</v>
      </c>
      <c r="E230" s="7">
        <f>'01 Product Master'!H230</f>
        <v>0</v>
      </c>
      <c r="F230" s="7">
        <f>'01 Product Master'!I230</f>
        <v>0</v>
      </c>
      <c r="G230" s="7" t="str">
        <f>'01 Product Master'!J230</f>
        <v/>
      </c>
      <c r="H230" s="7" t="str">
        <f>'01 Product Master'!K230</f>
        <v/>
      </c>
      <c r="I230" s="1"/>
    </row>
    <row r="231" spans="1:9" ht="16" x14ac:dyDescent="0.2">
      <c r="A231" s="1" t="str">
        <f>'01 Product Master'!A231</f>
        <v>SN-0230</v>
      </c>
      <c r="B231" s="1">
        <f>'01 Product Master'!C231</f>
        <v>0</v>
      </c>
      <c r="C231" s="1">
        <f>'01 Product Master'!E231</f>
        <v>0</v>
      </c>
      <c r="D231" s="7">
        <f>'01 Product Master'!G231</f>
        <v>0</v>
      </c>
      <c r="E231" s="7">
        <f>'01 Product Master'!H231</f>
        <v>0</v>
      </c>
      <c r="F231" s="7">
        <f>'01 Product Master'!I231</f>
        <v>0</v>
      </c>
      <c r="G231" s="7" t="str">
        <f>'01 Product Master'!J231</f>
        <v/>
      </c>
      <c r="H231" s="7" t="str">
        <f>'01 Product Master'!K231</f>
        <v/>
      </c>
      <c r="I231" s="1"/>
    </row>
    <row r="232" spans="1:9" ht="16" x14ac:dyDescent="0.2">
      <c r="A232" s="1" t="str">
        <f>'01 Product Master'!A232</f>
        <v>SN-0231</v>
      </c>
      <c r="B232" s="1">
        <f>'01 Product Master'!C232</f>
        <v>0</v>
      </c>
      <c r="C232" s="1">
        <f>'01 Product Master'!E232</f>
        <v>0</v>
      </c>
      <c r="D232" s="7">
        <f>'01 Product Master'!G232</f>
        <v>0</v>
      </c>
      <c r="E232" s="7">
        <f>'01 Product Master'!H232</f>
        <v>0</v>
      </c>
      <c r="F232" s="7">
        <f>'01 Product Master'!I232</f>
        <v>0</v>
      </c>
      <c r="G232" s="7" t="str">
        <f>'01 Product Master'!J232</f>
        <v/>
      </c>
      <c r="H232" s="7" t="str">
        <f>'01 Product Master'!K232</f>
        <v/>
      </c>
      <c r="I232" s="1"/>
    </row>
    <row r="233" spans="1:9" ht="16" x14ac:dyDescent="0.2">
      <c r="A233" s="1" t="str">
        <f>'01 Product Master'!A233</f>
        <v>SN-0232</v>
      </c>
      <c r="B233" s="1">
        <f>'01 Product Master'!C233</f>
        <v>0</v>
      </c>
      <c r="C233" s="1">
        <f>'01 Product Master'!E233</f>
        <v>0</v>
      </c>
      <c r="D233" s="7">
        <f>'01 Product Master'!G233</f>
        <v>0</v>
      </c>
      <c r="E233" s="7">
        <f>'01 Product Master'!H233</f>
        <v>0</v>
      </c>
      <c r="F233" s="7">
        <f>'01 Product Master'!I233</f>
        <v>0</v>
      </c>
      <c r="G233" s="7" t="str">
        <f>'01 Product Master'!J233</f>
        <v/>
      </c>
      <c r="H233" s="7" t="str">
        <f>'01 Product Master'!K233</f>
        <v/>
      </c>
      <c r="I233" s="1"/>
    </row>
    <row r="234" spans="1:9" ht="16" x14ac:dyDescent="0.2">
      <c r="A234" s="1" t="str">
        <f>'01 Product Master'!A234</f>
        <v>SN-0233</v>
      </c>
      <c r="B234" s="1">
        <f>'01 Product Master'!C234</f>
        <v>0</v>
      </c>
      <c r="C234" s="1">
        <f>'01 Product Master'!E234</f>
        <v>0</v>
      </c>
      <c r="D234" s="7">
        <f>'01 Product Master'!G234</f>
        <v>0</v>
      </c>
      <c r="E234" s="7">
        <f>'01 Product Master'!H234</f>
        <v>0</v>
      </c>
      <c r="F234" s="7">
        <f>'01 Product Master'!I234</f>
        <v>0</v>
      </c>
      <c r="G234" s="7" t="str">
        <f>'01 Product Master'!J234</f>
        <v/>
      </c>
      <c r="H234" s="7" t="str">
        <f>'01 Product Master'!K234</f>
        <v/>
      </c>
      <c r="I234" s="1"/>
    </row>
    <row r="235" spans="1:9" ht="16" x14ac:dyDescent="0.2">
      <c r="A235" s="1" t="str">
        <f>'01 Product Master'!A235</f>
        <v>SN-0234</v>
      </c>
      <c r="B235" s="1">
        <f>'01 Product Master'!C235</f>
        <v>0</v>
      </c>
      <c r="C235" s="1">
        <f>'01 Product Master'!E235</f>
        <v>0</v>
      </c>
      <c r="D235" s="7">
        <f>'01 Product Master'!G235</f>
        <v>0</v>
      </c>
      <c r="E235" s="7">
        <f>'01 Product Master'!H235</f>
        <v>0</v>
      </c>
      <c r="F235" s="7">
        <f>'01 Product Master'!I235</f>
        <v>0</v>
      </c>
      <c r="G235" s="7" t="str">
        <f>'01 Product Master'!J235</f>
        <v/>
      </c>
      <c r="H235" s="7" t="str">
        <f>'01 Product Master'!K235</f>
        <v/>
      </c>
      <c r="I235" s="1"/>
    </row>
    <row r="236" spans="1:9" ht="16" x14ac:dyDescent="0.2">
      <c r="A236" s="1" t="str">
        <f>'01 Product Master'!A236</f>
        <v>SN-0235</v>
      </c>
      <c r="B236" s="1">
        <f>'01 Product Master'!C236</f>
        <v>0</v>
      </c>
      <c r="C236" s="1">
        <f>'01 Product Master'!E236</f>
        <v>0</v>
      </c>
      <c r="D236" s="7">
        <f>'01 Product Master'!G236</f>
        <v>0</v>
      </c>
      <c r="E236" s="7">
        <f>'01 Product Master'!H236</f>
        <v>0</v>
      </c>
      <c r="F236" s="7">
        <f>'01 Product Master'!I236</f>
        <v>0</v>
      </c>
      <c r="G236" s="7" t="str">
        <f>'01 Product Master'!J236</f>
        <v/>
      </c>
      <c r="H236" s="7" t="str">
        <f>'01 Product Master'!K236</f>
        <v/>
      </c>
      <c r="I236" s="1"/>
    </row>
    <row r="237" spans="1:9" ht="16" x14ac:dyDescent="0.2">
      <c r="A237" s="1" t="str">
        <f>'01 Product Master'!A237</f>
        <v>SN-0236</v>
      </c>
      <c r="B237" s="1">
        <f>'01 Product Master'!C237</f>
        <v>0</v>
      </c>
      <c r="C237" s="1">
        <f>'01 Product Master'!E237</f>
        <v>0</v>
      </c>
      <c r="D237" s="7">
        <f>'01 Product Master'!G237</f>
        <v>0</v>
      </c>
      <c r="E237" s="7">
        <f>'01 Product Master'!H237</f>
        <v>0</v>
      </c>
      <c r="F237" s="7">
        <f>'01 Product Master'!I237</f>
        <v>0</v>
      </c>
      <c r="G237" s="7" t="str">
        <f>'01 Product Master'!J237</f>
        <v/>
      </c>
      <c r="H237" s="7" t="str">
        <f>'01 Product Master'!K237</f>
        <v/>
      </c>
      <c r="I237" s="1"/>
    </row>
    <row r="238" spans="1:9" ht="16" x14ac:dyDescent="0.2">
      <c r="A238" s="1" t="str">
        <f>'01 Product Master'!A238</f>
        <v>SN-0237</v>
      </c>
      <c r="B238" s="1">
        <f>'01 Product Master'!C238</f>
        <v>0</v>
      </c>
      <c r="C238" s="1">
        <f>'01 Product Master'!E238</f>
        <v>0</v>
      </c>
      <c r="D238" s="7">
        <f>'01 Product Master'!G238</f>
        <v>0</v>
      </c>
      <c r="E238" s="7">
        <f>'01 Product Master'!H238</f>
        <v>0</v>
      </c>
      <c r="F238" s="7">
        <f>'01 Product Master'!I238</f>
        <v>0</v>
      </c>
      <c r="G238" s="7" t="str">
        <f>'01 Product Master'!J238</f>
        <v/>
      </c>
      <c r="H238" s="7" t="str">
        <f>'01 Product Master'!K238</f>
        <v/>
      </c>
      <c r="I238" s="1"/>
    </row>
    <row r="239" spans="1:9" ht="16" x14ac:dyDescent="0.2">
      <c r="A239" s="1" t="str">
        <f>'01 Product Master'!A239</f>
        <v>SN-0238</v>
      </c>
      <c r="B239" s="1">
        <f>'01 Product Master'!C239</f>
        <v>0</v>
      </c>
      <c r="C239" s="1">
        <f>'01 Product Master'!E239</f>
        <v>0</v>
      </c>
      <c r="D239" s="7">
        <f>'01 Product Master'!G239</f>
        <v>0</v>
      </c>
      <c r="E239" s="7">
        <f>'01 Product Master'!H239</f>
        <v>0</v>
      </c>
      <c r="F239" s="7">
        <f>'01 Product Master'!I239</f>
        <v>0</v>
      </c>
      <c r="G239" s="7" t="str">
        <f>'01 Product Master'!J239</f>
        <v/>
      </c>
      <c r="H239" s="7" t="str">
        <f>'01 Product Master'!K239</f>
        <v/>
      </c>
      <c r="I239" s="1"/>
    </row>
    <row r="240" spans="1:9" ht="16" x14ac:dyDescent="0.2">
      <c r="A240" s="1" t="str">
        <f>'01 Product Master'!A240</f>
        <v>SN-0239</v>
      </c>
      <c r="B240" s="1">
        <f>'01 Product Master'!C240</f>
        <v>0</v>
      </c>
      <c r="C240" s="1">
        <f>'01 Product Master'!E240</f>
        <v>0</v>
      </c>
      <c r="D240" s="7">
        <f>'01 Product Master'!G240</f>
        <v>0</v>
      </c>
      <c r="E240" s="7">
        <f>'01 Product Master'!H240</f>
        <v>0</v>
      </c>
      <c r="F240" s="7">
        <f>'01 Product Master'!I240</f>
        <v>0</v>
      </c>
      <c r="G240" s="7" t="str">
        <f>'01 Product Master'!J240</f>
        <v/>
      </c>
      <c r="H240" s="7" t="str">
        <f>'01 Product Master'!K240</f>
        <v/>
      </c>
      <c r="I240" s="1"/>
    </row>
    <row r="241" spans="1:9" ht="16" x14ac:dyDescent="0.2">
      <c r="A241" s="1" t="str">
        <f>'01 Product Master'!A241</f>
        <v>SN-0240</v>
      </c>
      <c r="B241" s="1">
        <f>'01 Product Master'!C241</f>
        <v>0</v>
      </c>
      <c r="C241" s="1">
        <f>'01 Product Master'!E241</f>
        <v>0</v>
      </c>
      <c r="D241" s="7">
        <f>'01 Product Master'!G241</f>
        <v>0</v>
      </c>
      <c r="E241" s="7">
        <f>'01 Product Master'!H241</f>
        <v>0</v>
      </c>
      <c r="F241" s="7">
        <f>'01 Product Master'!I241</f>
        <v>0</v>
      </c>
      <c r="G241" s="7" t="str">
        <f>'01 Product Master'!J241</f>
        <v/>
      </c>
      <c r="H241" s="7" t="str">
        <f>'01 Product Master'!K241</f>
        <v/>
      </c>
      <c r="I241" s="1"/>
    </row>
    <row r="242" spans="1:9" ht="16" x14ac:dyDescent="0.2">
      <c r="A242" s="1" t="str">
        <f>'01 Product Master'!A242</f>
        <v>SN-0241</v>
      </c>
      <c r="B242" s="1">
        <f>'01 Product Master'!C242</f>
        <v>0</v>
      </c>
      <c r="C242" s="1">
        <f>'01 Product Master'!E242</f>
        <v>0</v>
      </c>
      <c r="D242" s="7">
        <f>'01 Product Master'!G242</f>
        <v>0</v>
      </c>
      <c r="E242" s="7">
        <f>'01 Product Master'!H242</f>
        <v>0</v>
      </c>
      <c r="F242" s="7">
        <f>'01 Product Master'!I242</f>
        <v>0</v>
      </c>
      <c r="G242" s="7" t="str">
        <f>'01 Product Master'!J242</f>
        <v/>
      </c>
      <c r="H242" s="7" t="str">
        <f>'01 Product Master'!K242</f>
        <v/>
      </c>
      <c r="I242" s="1"/>
    </row>
    <row r="243" spans="1:9" ht="16" x14ac:dyDescent="0.2">
      <c r="A243" s="1" t="str">
        <f>'01 Product Master'!A243</f>
        <v>SN-0242</v>
      </c>
      <c r="B243" s="1">
        <f>'01 Product Master'!C243</f>
        <v>0</v>
      </c>
      <c r="C243" s="1">
        <f>'01 Product Master'!E243</f>
        <v>0</v>
      </c>
      <c r="D243" s="7">
        <f>'01 Product Master'!G243</f>
        <v>0</v>
      </c>
      <c r="E243" s="7">
        <f>'01 Product Master'!H243</f>
        <v>0</v>
      </c>
      <c r="F243" s="7">
        <f>'01 Product Master'!I243</f>
        <v>0</v>
      </c>
      <c r="G243" s="7" t="str">
        <f>'01 Product Master'!J243</f>
        <v/>
      </c>
      <c r="H243" s="7" t="str">
        <f>'01 Product Master'!K243</f>
        <v/>
      </c>
      <c r="I243" s="1"/>
    </row>
    <row r="244" spans="1:9" ht="16" x14ac:dyDescent="0.2">
      <c r="A244" s="1" t="str">
        <f>'01 Product Master'!A244</f>
        <v>SN-0243</v>
      </c>
      <c r="B244" s="1">
        <f>'01 Product Master'!C244</f>
        <v>0</v>
      </c>
      <c r="C244" s="1">
        <f>'01 Product Master'!E244</f>
        <v>0</v>
      </c>
      <c r="D244" s="7">
        <f>'01 Product Master'!G244</f>
        <v>0</v>
      </c>
      <c r="E244" s="7">
        <f>'01 Product Master'!H244</f>
        <v>0</v>
      </c>
      <c r="F244" s="7">
        <f>'01 Product Master'!I244</f>
        <v>0</v>
      </c>
      <c r="G244" s="7" t="str">
        <f>'01 Product Master'!J244</f>
        <v/>
      </c>
      <c r="H244" s="7" t="str">
        <f>'01 Product Master'!K244</f>
        <v/>
      </c>
      <c r="I244" s="1"/>
    </row>
    <row r="245" spans="1:9" ht="16" x14ac:dyDescent="0.2">
      <c r="A245" s="1" t="str">
        <f>'01 Product Master'!A245</f>
        <v>SN-0244</v>
      </c>
      <c r="B245" s="1">
        <f>'01 Product Master'!C245</f>
        <v>0</v>
      </c>
      <c r="C245" s="1">
        <f>'01 Product Master'!E245</f>
        <v>0</v>
      </c>
      <c r="D245" s="7">
        <f>'01 Product Master'!G245</f>
        <v>0</v>
      </c>
      <c r="E245" s="7">
        <f>'01 Product Master'!H245</f>
        <v>0</v>
      </c>
      <c r="F245" s="7">
        <f>'01 Product Master'!I245</f>
        <v>0</v>
      </c>
      <c r="G245" s="7" t="str">
        <f>'01 Product Master'!J245</f>
        <v/>
      </c>
      <c r="H245" s="7" t="str">
        <f>'01 Product Master'!K245</f>
        <v/>
      </c>
      <c r="I245" s="1"/>
    </row>
    <row r="246" spans="1:9" ht="16" x14ac:dyDescent="0.2">
      <c r="A246" s="1" t="str">
        <f>'01 Product Master'!A246</f>
        <v>SN-0245</v>
      </c>
      <c r="B246" s="1">
        <f>'01 Product Master'!C246</f>
        <v>0</v>
      </c>
      <c r="C246" s="1">
        <f>'01 Product Master'!E246</f>
        <v>0</v>
      </c>
      <c r="D246" s="7">
        <f>'01 Product Master'!G246</f>
        <v>0</v>
      </c>
      <c r="E246" s="7">
        <f>'01 Product Master'!H246</f>
        <v>0</v>
      </c>
      <c r="F246" s="7">
        <f>'01 Product Master'!I246</f>
        <v>0</v>
      </c>
      <c r="G246" s="7" t="str">
        <f>'01 Product Master'!J246</f>
        <v/>
      </c>
      <c r="H246" s="7" t="str">
        <f>'01 Product Master'!K246</f>
        <v/>
      </c>
      <c r="I246" s="1"/>
    </row>
    <row r="247" spans="1:9" ht="16" x14ac:dyDescent="0.2">
      <c r="A247" s="1" t="str">
        <f>'01 Product Master'!A247</f>
        <v>SN-0246</v>
      </c>
      <c r="B247" s="1">
        <f>'01 Product Master'!C247</f>
        <v>0</v>
      </c>
      <c r="C247" s="1">
        <f>'01 Product Master'!E247</f>
        <v>0</v>
      </c>
      <c r="D247" s="7">
        <f>'01 Product Master'!G247</f>
        <v>0</v>
      </c>
      <c r="E247" s="7">
        <f>'01 Product Master'!H247</f>
        <v>0</v>
      </c>
      <c r="F247" s="7">
        <f>'01 Product Master'!I247</f>
        <v>0</v>
      </c>
      <c r="G247" s="7" t="str">
        <f>'01 Product Master'!J247</f>
        <v/>
      </c>
      <c r="H247" s="7" t="str">
        <f>'01 Product Master'!K247</f>
        <v/>
      </c>
      <c r="I247" s="1"/>
    </row>
    <row r="248" spans="1:9" ht="16" x14ac:dyDescent="0.2">
      <c r="A248" s="1" t="str">
        <f>'01 Product Master'!A248</f>
        <v>SN-0247</v>
      </c>
      <c r="B248" s="1">
        <f>'01 Product Master'!C248</f>
        <v>0</v>
      </c>
      <c r="C248" s="1">
        <f>'01 Product Master'!E248</f>
        <v>0</v>
      </c>
      <c r="D248" s="7">
        <f>'01 Product Master'!G248</f>
        <v>0</v>
      </c>
      <c r="E248" s="7">
        <f>'01 Product Master'!H248</f>
        <v>0</v>
      </c>
      <c r="F248" s="7">
        <f>'01 Product Master'!I248</f>
        <v>0</v>
      </c>
      <c r="G248" s="7" t="str">
        <f>'01 Product Master'!J248</f>
        <v/>
      </c>
      <c r="H248" s="7" t="str">
        <f>'01 Product Master'!K248</f>
        <v/>
      </c>
      <c r="I248" s="1"/>
    </row>
    <row r="249" spans="1:9" ht="16" x14ac:dyDescent="0.2">
      <c r="A249" s="1" t="str">
        <f>'01 Product Master'!A249</f>
        <v>SN-0248</v>
      </c>
      <c r="B249" s="1">
        <f>'01 Product Master'!C249</f>
        <v>0</v>
      </c>
      <c r="C249" s="1">
        <f>'01 Product Master'!E249</f>
        <v>0</v>
      </c>
      <c r="D249" s="7">
        <f>'01 Product Master'!G249</f>
        <v>0</v>
      </c>
      <c r="E249" s="7">
        <f>'01 Product Master'!H249</f>
        <v>0</v>
      </c>
      <c r="F249" s="7">
        <f>'01 Product Master'!I249</f>
        <v>0</v>
      </c>
      <c r="G249" s="7" t="str">
        <f>'01 Product Master'!J249</f>
        <v/>
      </c>
      <c r="H249" s="7" t="str">
        <f>'01 Product Master'!K249</f>
        <v/>
      </c>
      <c r="I249" s="1"/>
    </row>
    <row r="250" spans="1:9" ht="16" x14ac:dyDescent="0.2">
      <c r="A250" s="1" t="str">
        <f>'01 Product Master'!A250</f>
        <v>SN-0249</v>
      </c>
      <c r="B250" s="1">
        <f>'01 Product Master'!C250</f>
        <v>0</v>
      </c>
      <c r="C250" s="1">
        <f>'01 Product Master'!E250</f>
        <v>0</v>
      </c>
      <c r="D250" s="7">
        <f>'01 Product Master'!G250</f>
        <v>0</v>
      </c>
      <c r="E250" s="7">
        <f>'01 Product Master'!H250</f>
        <v>0</v>
      </c>
      <c r="F250" s="7">
        <f>'01 Product Master'!I250</f>
        <v>0</v>
      </c>
      <c r="G250" s="7" t="str">
        <f>'01 Product Master'!J250</f>
        <v/>
      </c>
      <c r="H250" s="7" t="str">
        <f>'01 Product Master'!K250</f>
        <v/>
      </c>
      <c r="I250" s="1"/>
    </row>
    <row r="251" spans="1:9" ht="16" x14ac:dyDescent="0.2">
      <c r="A251" s="1" t="str">
        <f>'01 Product Master'!A251</f>
        <v>SN-0250</v>
      </c>
      <c r="B251" s="1">
        <f>'01 Product Master'!C251</f>
        <v>0</v>
      </c>
      <c r="C251" s="1">
        <f>'01 Product Master'!E251</f>
        <v>0</v>
      </c>
      <c r="D251" s="7">
        <f>'01 Product Master'!G251</f>
        <v>0</v>
      </c>
      <c r="E251" s="7">
        <f>'01 Product Master'!H251</f>
        <v>0</v>
      </c>
      <c r="F251" s="7">
        <f>'01 Product Master'!I251</f>
        <v>0</v>
      </c>
      <c r="G251" s="7" t="str">
        <f>'01 Product Master'!J251</f>
        <v/>
      </c>
      <c r="H251" s="7" t="str">
        <f>'01 Product Master'!K251</f>
        <v/>
      </c>
      <c r="I251" s="1"/>
    </row>
    <row r="252" spans="1:9" ht="16" x14ac:dyDescent="0.2">
      <c r="A252" s="1" t="str">
        <f>'01 Product Master'!A252</f>
        <v>SN-0251</v>
      </c>
      <c r="B252" s="1">
        <f>'01 Product Master'!C252</f>
        <v>0</v>
      </c>
      <c r="C252" s="1">
        <f>'01 Product Master'!E252</f>
        <v>0</v>
      </c>
      <c r="D252" s="7">
        <f>'01 Product Master'!G252</f>
        <v>0</v>
      </c>
      <c r="E252" s="7">
        <f>'01 Product Master'!H252</f>
        <v>0</v>
      </c>
      <c r="F252" s="7">
        <f>'01 Product Master'!I252</f>
        <v>0</v>
      </c>
      <c r="G252" s="7" t="str">
        <f>'01 Product Master'!J252</f>
        <v/>
      </c>
      <c r="H252" s="7" t="str">
        <f>'01 Product Master'!K252</f>
        <v/>
      </c>
      <c r="I252" s="1"/>
    </row>
    <row r="253" spans="1:9" ht="16" x14ac:dyDescent="0.2">
      <c r="A253" s="1" t="str">
        <f>'01 Product Master'!A253</f>
        <v>SN-0252</v>
      </c>
      <c r="B253" s="1">
        <f>'01 Product Master'!C253</f>
        <v>0</v>
      </c>
      <c r="C253" s="1">
        <f>'01 Product Master'!E253</f>
        <v>0</v>
      </c>
      <c r="D253" s="7">
        <f>'01 Product Master'!G253</f>
        <v>0</v>
      </c>
      <c r="E253" s="7">
        <f>'01 Product Master'!H253</f>
        <v>0</v>
      </c>
      <c r="F253" s="7">
        <f>'01 Product Master'!I253</f>
        <v>0</v>
      </c>
      <c r="G253" s="7" t="str">
        <f>'01 Product Master'!J253</f>
        <v/>
      </c>
      <c r="H253" s="7" t="str">
        <f>'01 Product Master'!K253</f>
        <v/>
      </c>
      <c r="I253" s="1"/>
    </row>
    <row r="254" spans="1:9" ht="16" x14ac:dyDescent="0.2">
      <c r="A254" s="1" t="str">
        <f>'01 Product Master'!A254</f>
        <v>SN-0253</v>
      </c>
      <c r="B254" s="1">
        <f>'01 Product Master'!C254</f>
        <v>0</v>
      </c>
      <c r="C254" s="1">
        <f>'01 Product Master'!E254</f>
        <v>0</v>
      </c>
      <c r="D254" s="7">
        <f>'01 Product Master'!G254</f>
        <v>0</v>
      </c>
      <c r="E254" s="7">
        <f>'01 Product Master'!H254</f>
        <v>0</v>
      </c>
      <c r="F254" s="7">
        <f>'01 Product Master'!I254</f>
        <v>0</v>
      </c>
      <c r="G254" s="7" t="str">
        <f>'01 Product Master'!J254</f>
        <v/>
      </c>
      <c r="H254" s="7" t="str">
        <f>'01 Product Master'!K254</f>
        <v/>
      </c>
      <c r="I254" s="1"/>
    </row>
    <row r="255" spans="1:9" ht="16" x14ac:dyDescent="0.2">
      <c r="A255" s="1" t="str">
        <f>'01 Product Master'!A255</f>
        <v>SN-0254</v>
      </c>
      <c r="B255" s="1">
        <f>'01 Product Master'!C255</f>
        <v>0</v>
      </c>
      <c r="C255" s="1">
        <f>'01 Product Master'!E255</f>
        <v>0</v>
      </c>
      <c r="D255" s="7">
        <f>'01 Product Master'!G255</f>
        <v>0</v>
      </c>
      <c r="E255" s="7">
        <f>'01 Product Master'!H255</f>
        <v>0</v>
      </c>
      <c r="F255" s="7">
        <f>'01 Product Master'!I255</f>
        <v>0</v>
      </c>
      <c r="G255" s="7" t="str">
        <f>'01 Product Master'!J255</f>
        <v/>
      </c>
      <c r="H255" s="7" t="str">
        <f>'01 Product Master'!K255</f>
        <v/>
      </c>
      <c r="I255" s="1"/>
    </row>
    <row r="256" spans="1:9" ht="16" x14ac:dyDescent="0.2">
      <c r="A256" s="1" t="str">
        <f>'01 Product Master'!A256</f>
        <v>SN-0255</v>
      </c>
      <c r="B256" s="1">
        <f>'01 Product Master'!C256</f>
        <v>0</v>
      </c>
      <c r="C256" s="1">
        <f>'01 Product Master'!E256</f>
        <v>0</v>
      </c>
      <c r="D256" s="7">
        <f>'01 Product Master'!G256</f>
        <v>0</v>
      </c>
      <c r="E256" s="7">
        <f>'01 Product Master'!H256</f>
        <v>0</v>
      </c>
      <c r="F256" s="7">
        <f>'01 Product Master'!I256</f>
        <v>0</v>
      </c>
      <c r="G256" s="7" t="str">
        <f>'01 Product Master'!J256</f>
        <v/>
      </c>
      <c r="H256" s="7" t="str">
        <f>'01 Product Master'!K256</f>
        <v/>
      </c>
      <c r="I256" s="1"/>
    </row>
    <row r="257" spans="1:9" ht="16" x14ac:dyDescent="0.2">
      <c r="A257" s="1" t="str">
        <f>'01 Product Master'!A257</f>
        <v>SN-0256</v>
      </c>
      <c r="B257" s="1">
        <f>'01 Product Master'!C257</f>
        <v>0</v>
      </c>
      <c r="C257" s="1">
        <f>'01 Product Master'!E257</f>
        <v>0</v>
      </c>
      <c r="D257" s="7">
        <f>'01 Product Master'!G257</f>
        <v>0</v>
      </c>
      <c r="E257" s="7">
        <f>'01 Product Master'!H257</f>
        <v>0</v>
      </c>
      <c r="F257" s="7">
        <f>'01 Product Master'!I257</f>
        <v>0</v>
      </c>
      <c r="G257" s="7" t="str">
        <f>'01 Product Master'!J257</f>
        <v/>
      </c>
      <c r="H257" s="7" t="str">
        <f>'01 Product Master'!K257</f>
        <v/>
      </c>
      <c r="I257" s="1"/>
    </row>
    <row r="258" spans="1:9" ht="16" x14ac:dyDescent="0.2">
      <c r="A258" s="1" t="str">
        <f>'01 Product Master'!A258</f>
        <v>SN-0257</v>
      </c>
      <c r="B258" s="1">
        <f>'01 Product Master'!C258</f>
        <v>0</v>
      </c>
      <c r="C258" s="1">
        <f>'01 Product Master'!E258</f>
        <v>0</v>
      </c>
      <c r="D258" s="7">
        <f>'01 Product Master'!G258</f>
        <v>0</v>
      </c>
      <c r="E258" s="7">
        <f>'01 Product Master'!H258</f>
        <v>0</v>
      </c>
      <c r="F258" s="7">
        <f>'01 Product Master'!I258</f>
        <v>0</v>
      </c>
      <c r="G258" s="7" t="str">
        <f>'01 Product Master'!J258</f>
        <v/>
      </c>
      <c r="H258" s="7" t="str">
        <f>'01 Product Master'!K258</f>
        <v/>
      </c>
      <c r="I258" s="1"/>
    </row>
    <row r="259" spans="1:9" ht="16" x14ac:dyDescent="0.2">
      <c r="A259" s="1" t="str">
        <f>'01 Product Master'!A259</f>
        <v>SN-0258</v>
      </c>
      <c r="B259" s="1">
        <f>'01 Product Master'!C259</f>
        <v>0</v>
      </c>
      <c r="C259" s="1">
        <f>'01 Product Master'!E259</f>
        <v>0</v>
      </c>
      <c r="D259" s="7">
        <f>'01 Product Master'!G259</f>
        <v>0</v>
      </c>
      <c r="E259" s="7">
        <f>'01 Product Master'!H259</f>
        <v>0</v>
      </c>
      <c r="F259" s="7">
        <f>'01 Product Master'!I259</f>
        <v>0</v>
      </c>
      <c r="G259" s="7" t="str">
        <f>'01 Product Master'!J259</f>
        <v/>
      </c>
      <c r="H259" s="7" t="str">
        <f>'01 Product Master'!K259</f>
        <v/>
      </c>
      <c r="I259" s="1"/>
    </row>
    <row r="260" spans="1:9" ht="16" x14ac:dyDescent="0.2">
      <c r="A260" s="1" t="str">
        <f>'01 Product Master'!A260</f>
        <v>SN-0259</v>
      </c>
      <c r="B260" s="1">
        <f>'01 Product Master'!C260</f>
        <v>0</v>
      </c>
      <c r="C260" s="1">
        <f>'01 Product Master'!E260</f>
        <v>0</v>
      </c>
      <c r="D260" s="7">
        <f>'01 Product Master'!G260</f>
        <v>0</v>
      </c>
      <c r="E260" s="7">
        <f>'01 Product Master'!H260</f>
        <v>0</v>
      </c>
      <c r="F260" s="7">
        <f>'01 Product Master'!I260</f>
        <v>0</v>
      </c>
      <c r="G260" s="7" t="str">
        <f>'01 Product Master'!J260</f>
        <v/>
      </c>
      <c r="H260" s="7" t="str">
        <f>'01 Product Master'!K260</f>
        <v/>
      </c>
      <c r="I260" s="1"/>
    </row>
    <row r="261" spans="1:9" ht="16" x14ac:dyDescent="0.2">
      <c r="A261" s="1" t="str">
        <f>'01 Product Master'!A261</f>
        <v>SN-0260</v>
      </c>
      <c r="B261" s="1">
        <f>'01 Product Master'!C261</f>
        <v>0</v>
      </c>
      <c r="C261" s="1">
        <f>'01 Product Master'!E261</f>
        <v>0</v>
      </c>
      <c r="D261" s="7">
        <f>'01 Product Master'!G261</f>
        <v>0</v>
      </c>
      <c r="E261" s="7">
        <f>'01 Product Master'!H261</f>
        <v>0</v>
      </c>
      <c r="F261" s="7">
        <f>'01 Product Master'!I261</f>
        <v>0</v>
      </c>
      <c r="G261" s="7" t="str">
        <f>'01 Product Master'!J261</f>
        <v/>
      </c>
      <c r="H261" s="7" t="str">
        <f>'01 Product Master'!K261</f>
        <v/>
      </c>
      <c r="I261" s="1"/>
    </row>
    <row r="262" spans="1:9" ht="16" x14ac:dyDescent="0.2">
      <c r="A262" s="1" t="str">
        <f>'01 Product Master'!A262</f>
        <v>SN-0261</v>
      </c>
      <c r="B262" s="1">
        <f>'01 Product Master'!C262</f>
        <v>0</v>
      </c>
      <c r="C262" s="1">
        <f>'01 Product Master'!E262</f>
        <v>0</v>
      </c>
      <c r="D262" s="7">
        <f>'01 Product Master'!G262</f>
        <v>0</v>
      </c>
      <c r="E262" s="7">
        <f>'01 Product Master'!H262</f>
        <v>0</v>
      </c>
      <c r="F262" s="7">
        <f>'01 Product Master'!I262</f>
        <v>0</v>
      </c>
      <c r="G262" s="7" t="str">
        <f>'01 Product Master'!J262</f>
        <v/>
      </c>
      <c r="H262" s="7" t="str">
        <f>'01 Product Master'!K262</f>
        <v/>
      </c>
      <c r="I262" s="1"/>
    </row>
    <row r="263" spans="1:9" ht="16" x14ac:dyDescent="0.2">
      <c r="A263" s="1" t="str">
        <f>'01 Product Master'!A263</f>
        <v>SN-0262</v>
      </c>
      <c r="B263" s="1">
        <f>'01 Product Master'!C263</f>
        <v>0</v>
      </c>
      <c r="C263" s="1">
        <f>'01 Product Master'!E263</f>
        <v>0</v>
      </c>
      <c r="D263" s="7">
        <f>'01 Product Master'!G263</f>
        <v>0</v>
      </c>
      <c r="E263" s="7">
        <f>'01 Product Master'!H263</f>
        <v>0</v>
      </c>
      <c r="F263" s="7">
        <f>'01 Product Master'!I263</f>
        <v>0</v>
      </c>
      <c r="G263" s="7" t="str">
        <f>'01 Product Master'!J263</f>
        <v/>
      </c>
      <c r="H263" s="7" t="str">
        <f>'01 Product Master'!K263</f>
        <v/>
      </c>
      <c r="I263" s="1"/>
    </row>
    <row r="264" spans="1:9" ht="16" x14ac:dyDescent="0.2">
      <c r="A264" s="1" t="str">
        <f>'01 Product Master'!A264</f>
        <v>SN-0263</v>
      </c>
      <c r="B264" s="1">
        <f>'01 Product Master'!C264</f>
        <v>0</v>
      </c>
      <c r="C264" s="1">
        <f>'01 Product Master'!E264</f>
        <v>0</v>
      </c>
      <c r="D264" s="7">
        <f>'01 Product Master'!G264</f>
        <v>0</v>
      </c>
      <c r="E264" s="7">
        <f>'01 Product Master'!H264</f>
        <v>0</v>
      </c>
      <c r="F264" s="7">
        <f>'01 Product Master'!I264</f>
        <v>0</v>
      </c>
      <c r="G264" s="7" t="str">
        <f>'01 Product Master'!J264</f>
        <v/>
      </c>
      <c r="H264" s="7" t="str">
        <f>'01 Product Master'!K264</f>
        <v/>
      </c>
      <c r="I264" s="1"/>
    </row>
    <row r="265" spans="1:9" ht="16" x14ac:dyDescent="0.2">
      <c r="A265" s="1" t="str">
        <f>'01 Product Master'!A265</f>
        <v>SN-0264</v>
      </c>
      <c r="B265" s="1">
        <f>'01 Product Master'!C265</f>
        <v>0</v>
      </c>
      <c r="C265" s="1">
        <f>'01 Product Master'!E265</f>
        <v>0</v>
      </c>
      <c r="D265" s="7">
        <f>'01 Product Master'!G265</f>
        <v>0</v>
      </c>
      <c r="E265" s="7">
        <f>'01 Product Master'!H265</f>
        <v>0</v>
      </c>
      <c r="F265" s="7">
        <f>'01 Product Master'!I265</f>
        <v>0</v>
      </c>
      <c r="G265" s="7" t="str">
        <f>'01 Product Master'!J265</f>
        <v/>
      </c>
      <c r="H265" s="7" t="str">
        <f>'01 Product Master'!K265</f>
        <v/>
      </c>
      <c r="I265" s="1"/>
    </row>
    <row r="266" spans="1:9" ht="16" x14ac:dyDescent="0.2">
      <c r="A266" s="1" t="str">
        <f>'01 Product Master'!A266</f>
        <v>SN-0265</v>
      </c>
      <c r="B266" s="1">
        <f>'01 Product Master'!C266</f>
        <v>0</v>
      </c>
      <c r="C266" s="1">
        <f>'01 Product Master'!E266</f>
        <v>0</v>
      </c>
      <c r="D266" s="7">
        <f>'01 Product Master'!G266</f>
        <v>0</v>
      </c>
      <c r="E266" s="7">
        <f>'01 Product Master'!H266</f>
        <v>0</v>
      </c>
      <c r="F266" s="7">
        <f>'01 Product Master'!I266</f>
        <v>0</v>
      </c>
      <c r="G266" s="7" t="str">
        <f>'01 Product Master'!J266</f>
        <v/>
      </c>
      <c r="H266" s="7" t="str">
        <f>'01 Product Master'!K266</f>
        <v/>
      </c>
      <c r="I266" s="1"/>
    </row>
    <row r="267" spans="1:9" ht="16" x14ac:dyDescent="0.2">
      <c r="A267" s="1" t="str">
        <f>'01 Product Master'!A267</f>
        <v>SN-0266</v>
      </c>
      <c r="B267" s="1">
        <f>'01 Product Master'!C267</f>
        <v>0</v>
      </c>
      <c r="C267" s="1">
        <f>'01 Product Master'!E267</f>
        <v>0</v>
      </c>
      <c r="D267" s="7">
        <f>'01 Product Master'!G267</f>
        <v>0</v>
      </c>
      <c r="E267" s="7">
        <f>'01 Product Master'!H267</f>
        <v>0</v>
      </c>
      <c r="F267" s="7">
        <f>'01 Product Master'!I267</f>
        <v>0</v>
      </c>
      <c r="G267" s="7" t="str">
        <f>'01 Product Master'!J267</f>
        <v/>
      </c>
      <c r="H267" s="7" t="str">
        <f>'01 Product Master'!K267</f>
        <v/>
      </c>
      <c r="I267" s="1"/>
    </row>
    <row r="268" spans="1:9" ht="16" x14ac:dyDescent="0.2">
      <c r="A268" s="1" t="str">
        <f>'01 Product Master'!A268</f>
        <v>SN-0267</v>
      </c>
      <c r="B268" s="1">
        <f>'01 Product Master'!C268</f>
        <v>0</v>
      </c>
      <c r="C268" s="1">
        <f>'01 Product Master'!E268</f>
        <v>0</v>
      </c>
      <c r="D268" s="7">
        <f>'01 Product Master'!G268</f>
        <v>0</v>
      </c>
      <c r="E268" s="7">
        <f>'01 Product Master'!H268</f>
        <v>0</v>
      </c>
      <c r="F268" s="7">
        <f>'01 Product Master'!I268</f>
        <v>0</v>
      </c>
      <c r="G268" s="7" t="str">
        <f>'01 Product Master'!J268</f>
        <v/>
      </c>
      <c r="H268" s="7" t="str">
        <f>'01 Product Master'!K268</f>
        <v/>
      </c>
      <c r="I268" s="1"/>
    </row>
    <row r="269" spans="1:9" ht="16" x14ac:dyDescent="0.2">
      <c r="A269" s="1" t="str">
        <f>'01 Product Master'!A269</f>
        <v>SN-0268</v>
      </c>
      <c r="B269" s="1">
        <f>'01 Product Master'!C269</f>
        <v>0</v>
      </c>
      <c r="C269" s="1">
        <f>'01 Product Master'!E269</f>
        <v>0</v>
      </c>
      <c r="D269" s="7">
        <f>'01 Product Master'!G269</f>
        <v>0</v>
      </c>
      <c r="E269" s="7">
        <f>'01 Product Master'!H269</f>
        <v>0</v>
      </c>
      <c r="F269" s="7">
        <f>'01 Product Master'!I269</f>
        <v>0</v>
      </c>
      <c r="G269" s="7" t="str">
        <f>'01 Product Master'!J269</f>
        <v/>
      </c>
      <c r="H269" s="7" t="str">
        <f>'01 Product Master'!K269</f>
        <v/>
      </c>
      <c r="I269" s="1"/>
    </row>
    <row r="270" spans="1:9" ht="16" x14ac:dyDescent="0.2">
      <c r="A270" s="1" t="str">
        <f>'01 Product Master'!A270</f>
        <v>SN-0269</v>
      </c>
      <c r="B270" s="1">
        <f>'01 Product Master'!C270</f>
        <v>0</v>
      </c>
      <c r="C270" s="1">
        <f>'01 Product Master'!E270</f>
        <v>0</v>
      </c>
      <c r="D270" s="7">
        <f>'01 Product Master'!G270</f>
        <v>0</v>
      </c>
      <c r="E270" s="7">
        <f>'01 Product Master'!H270</f>
        <v>0</v>
      </c>
      <c r="F270" s="7">
        <f>'01 Product Master'!I270</f>
        <v>0</v>
      </c>
      <c r="G270" s="7" t="str">
        <f>'01 Product Master'!J270</f>
        <v/>
      </c>
      <c r="H270" s="7" t="str">
        <f>'01 Product Master'!K270</f>
        <v/>
      </c>
      <c r="I270" s="1"/>
    </row>
    <row r="271" spans="1:9" ht="16" x14ac:dyDescent="0.2">
      <c r="A271" s="1" t="str">
        <f>'01 Product Master'!A271</f>
        <v>SN-0270</v>
      </c>
      <c r="B271" s="1">
        <f>'01 Product Master'!C271</f>
        <v>0</v>
      </c>
      <c r="C271" s="1">
        <f>'01 Product Master'!E271</f>
        <v>0</v>
      </c>
      <c r="D271" s="7">
        <f>'01 Product Master'!G271</f>
        <v>0</v>
      </c>
      <c r="E271" s="7">
        <f>'01 Product Master'!H271</f>
        <v>0</v>
      </c>
      <c r="F271" s="7">
        <f>'01 Product Master'!I271</f>
        <v>0</v>
      </c>
      <c r="G271" s="7" t="str">
        <f>'01 Product Master'!J271</f>
        <v/>
      </c>
      <c r="H271" s="7" t="str">
        <f>'01 Product Master'!K271</f>
        <v/>
      </c>
      <c r="I271" s="1"/>
    </row>
    <row r="272" spans="1:9" ht="16" x14ac:dyDescent="0.2">
      <c r="A272" s="1" t="str">
        <f>'01 Product Master'!A272</f>
        <v>SN-0271</v>
      </c>
      <c r="B272" s="1">
        <f>'01 Product Master'!C272</f>
        <v>0</v>
      </c>
      <c r="C272" s="1">
        <f>'01 Product Master'!E272</f>
        <v>0</v>
      </c>
      <c r="D272" s="7">
        <f>'01 Product Master'!G272</f>
        <v>0</v>
      </c>
      <c r="E272" s="7">
        <f>'01 Product Master'!H272</f>
        <v>0</v>
      </c>
      <c r="F272" s="7">
        <f>'01 Product Master'!I272</f>
        <v>0</v>
      </c>
      <c r="G272" s="7" t="str">
        <f>'01 Product Master'!J272</f>
        <v/>
      </c>
      <c r="H272" s="7" t="str">
        <f>'01 Product Master'!K272</f>
        <v/>
      </c>
      <c r="I272" s="1"/>
    </row>
    <row r="273" spans="1:9" ht="16" x14ac:dyDescent="0.2">
      <c r="A273" s="1" t="str">
        <f>'01 Product Master'!A273</f>
        <v>SN-0272</v>
      </c>
      <c r="B273" s="1">
        <f>'01 Product Master'!C273</f>
        <v>0</v>
      </c>
      <c r="C273" s="1">
        <f>'01 Product Master'!E273</f>
        <v>0</v>
      </c>
      <c r="D273" s="7">
        <f>'01 Product Master'!G273</f>
        <v>0</v>
      </c>
      <c r="E273" s="7">
        <f>'01 Product Master'!H273</f>
        <v>0</v>
      </c>
      <c r="F273" s="7">
        <f>'01 Product Master'!I273</f>
        <v>0</v>
      </c>
      <c r="G273" s="7" t="str">
        <f>'01 Product Master'!J273</f>
        <v/>
      </c>
      <c r="H273" s="7" t="str">
        <f>'01 Product Master'!K273</f>
        <v/>
      </c>
      <c r="I273" s="1"/>
    </row>
    <row r="274" spans="1:9" ht="16" x14ac:dyDescent="0.2">
      <c r="A274" s="1" t="str">
        <f>'01 Product Master'!A274</f>
        <v>SN-0273</v>
      </c>
      <c r="B274" s="1">
        <f>'01 Product Master'!C274</f>
        <v>0</v>
      </c>
      <c r="C274" s="1">
        <f>'01 Product Master'!E274</f>
        <v>0</v>
      </c>
      <c r="D274" s="7">
        <f>'01 Product Master'!G274</f>
        <v>0</v>
      </c>
      <c r="E274" s="7">
        <f>'01 Product Master'!H274</f>
        <v>0</v>
      </c>
      <c r="F274" s="7">
        <f>'01 Product Master'!I274</f>
        <v>0</v>
      </c>
      <c r="G274" s="7" t="str">
        <f>'01 Product Master'!J274</f>
        <v/>
      </c>
      <c r="H274" s="7" t="str">
        <f>'01 Product Master'!K274</f>
        <v/>
      </c>
      <c r="I274" s="1"/>
    </row>
    <row r="275" spans="1:9" ht="16" x14ac:dyDescent="0.2">
      <c r="A275" s="1" t="str">
        <f>'01 Product Master'!A275</f>
        <v>SN-0274</v>
      </c>
      <c r="B275" s="1">
        <f>'01 Product Master'!C275</f>
        <v>0</v>
      </c>
      <c r="C275" s="1">
        <f>'01 Product Master'!E275</f>
        <v>0</v>
      </c>
      <c r="D275" s="7">
        <f>'01 Product Master'!G275</f>
        <v>0</v>
      </c>
      <c r="E275" s="7">
        <f>'01 Product Master'!H275</f>
        <v>0</v>
      </c>
      <c r="F275" s="7">
        <f>'01 Product Master'!I275</f>
        <v>0</v>
      </c>
      <c r="G275" s="7" t="str">
        <f>'01 Product Master'!J275</f>
        <v/>
      </c>
      <c r="H275" s="7" t="str">
        <f>'01 Product Master'!K275</f>
        <v/>
      </c>
      <c r="I275" s="1"/>
    </row>
    <row r="276" spans="1:9" ht="16" x14ac:dyDescent="0.2">
      <c r="A276" s="1" t="str">
        <f>'01 Product Master'!A276</f>
        <v>SN-0275</v>
      </c>
      <c r="B276" s="1">
        <f>'01 Product Master'!C276</f>
        <v>0</v>
      </c>
      <c r="C276" s="1">
        <f>'01 Product Master'!E276</f>
        <v>0</v>
      </c>
      <c r="D276" s="7">
        <f>'01 Product Master'!G276</f>
        <v>0</v>
      </c>
      <c r="E276" s="7">
        <f>'01 Product Master'!H276</f>
        <v>0</v>
      </c>
      <c r="F276" s="7">
        <f>'01 Product Master'!I276</f>
        <v>0</v>
      </c>
      <c r="G276" s="7" t="str">
        <f>'01 Product Master'!J276</f>
        <v/>
      </c>
      <c r="H276" s="7" t="str">
        <f>'01 Product Master'!K276</f>
        <v/>
      </c>
      <c r="I276" s="1"/>
    </row>
    <row r="277" spans="1:9" ht="16" x14ac:dyDescent="0.2">
      <c r="A277" s="1" t="str">
        <f>'01 Product Master'!A277</f>
        <v>SN-0276</v>
      </c>
      <c r="B277" s="1">
        <f>'01 Product Master'!C277</f>
        <v>0</v>
      </c>
      <c r="C277" s="1">
        <f>'01 Product Master'!E277</f>
        <v>0</v>
      </c>
      <c r="D277" s="7">
        <f>'01 Product Master'!G277</f>
        <v>0</v>
      </c>
      <c r="E277" s="7">
        <f>'01 Product Master'!H277</f>
        <v>0</v>
      </c>
      <c r="F277" s="7">
        <f>'01 Product Master'!I277</f>
        <v>0</v>
      </c>
      <c r="G277" s="7" t="str">
        <f>'01 Product Master'!J277</f>
        <v/>
      </c>
      <c r="H277" s="7" t="str">
        <f>'01 Product Master'!K277</f>
        <v/>
      </c>
      <c r="I277" s="1"/>
    </row>
    <row r="278" spans="1:9" ht="16" x14ac:dyDescent="0.2">
      <c r="A278" s="1" t="str">
        <f>'01 Product Master'!A278</f>
        <v>SN-0277</v>
      </c>
      <c r="B278" s="1">
        <f>'01 Product Master'!C278</f>
        <v>0</v>
      </c>
      <c r="C278" s="1">
        <f>'01 Product Master'!E278</f>
        <v>0</v>
      </c>
      <c r="D278" s="7">
        <f>'01 Product Master'!G278</f>
        <v>0</v>
      </c>
      <c r="E278" s="7">
        <f>'01 Product Master'!H278</f>
        <v>0</v>
      </c>
      <c r="F278" s="7">
        <f>'01 Product Master'!I278</f>
        <v>0</v>
      </c>
      <c r="G278" s="7" t="str">
        <f>'01 Product Master'!J278</f>
        <v/>
      </c>
      <c r="H278" s="7" t="str">
        <f>'01 Product Master'!K278</f>
        <v/>
      </c>
      <c r="I278" s="1"/>
    </row>
    <row r="279" spans="1:9" ht="16" x14ac:dyDescent="0.2">
      <c r="A279" s="1" t="str">
        <f>'01 Product Master'!A279</f>
        <v>SN-0278</v>
      </c>
      <c r="B279" s="1">
        <f>'01 Product Master'!C279</f>
        <v>0</v>
      </c>
      <c r="C279" s="1">
        <f>'01 Product Master'!E279</f>
        <v>0</v>
      </c>
      <c r="D279" s="7">
        <f>'01 Product Master'!G279</f>
        <v>0</v>
      </c>
      <c r="E279" s="7">
        <f>'01 Product Master'!H279</f>
        <v>0</v>
      </c>
      <c r="F279" s="7">
        <f>'01 Product Master'!I279</f>
        <v>0</v>
      </c>
      <c r="G279" s="7" t="str">
        <f>'01 Product Master'!J279</f>
        <v/>
      </c>
      <c r="H279" s="7" t="str">
        <f>'01 Product Master'!K279</f>
        <v/>
      </c>
      <c r="I279" s="1"/>
    </row>
    <row r="280" spans="1:9" ht="16" x14ac:dyDescent="0.2">
      <c r="A280" s="1" t="str">
        <f>'01 Product Master'!A280</f>
        <v>SN-0279</v>
      </c>
      <c r="B280" s="1">
        <f>'01 Product Master'!C280</f>
        <v>0</v>
      </c>
      <c r="C280" s="1">
        <f>'01 Product Master'!E280</f>
        <v>0</v>
      </c>
      <c r="D280" s="7">
        <f>'01 Product Master'!G280</f>
        <v>0</v>
      </c>
      <c r="E280" s="7">
        <f>'01 Product Master'!H280</f>
        <v>0</v>
      </c>
      <c r="F280" s="7">
        <f>'01 Product Master'!I280</f>
        <v>0</v>
      </c>
      <c r="G280" s="7" t="str">
        <f>'01 Product Master'!J280</f>
        <v/>
      </c>
      <c r="H280" s="7" t="str">
        <f>'01 Product Master'!K280</f>
        <v/>
      </c>
      <c r="I280" s="1"/>
    </row>
    <row r="281" spans="1:9" ht="16" x14ac:dyDescent="0.2">
      <c r="A281" s="1" t="str">
        <f>'01 Product Master'!A281</f>
        <v>SN-0280</v>
      </c>
      <c r="B281" s="1">
        <f>'01 Product Master'!C281</f>
        <v>0</v>
      </c>
      <c r="C281" s="1">
        <f>'01 Product Master'!E281</f>
        <v>0</v>
      </c>
      <c r="D281" s="7">
        <f>'01 Product Master'!G281</f>
        <v>0</v>
      </c>
      <c r="E281" s="7">
        <f>'01 Product Master'!H281</f>
        <v>0</v>
      </c>
      <c r="F281" s="7">
        <f>'01 Product Master'!I281</f>
        <v>0</v>
      </c>
      <c r="G281" s="7" t="str">
        <f>'01 Product Master'!J281</f>
        <v/>
      </c>
      <c r="H281" s="7" t="str">
        <f>'01 Product Master'!K281</f>
        <v/>
      </c>
      <c r="I281" s="1"/>
    </row>
    <row r="282" spans="1:9" ht="16" x14ac:dyDescent="0.2">
      <c r="A282" s="1" t="str">
        <f>'01 Product Master'!A282</f>
        <v>SN-0281</v>
      </c>
      <c r="B282" s="1">
        <f>'01 Product Master'!C282</f>
        <v>0</v>
      </c>
      <c r="C282" s="1">
        <f>'01 Product Master'!E282</f>
        <v>0</v>
      </c>
      <c r="D282" s="7">
        <f>'01 Product Master'!G282</f>
        <v>0</v>
      </c>
      <c r="E282" s="7">
        <f>'01 Product Master'!H282</f>
        <v>0</v>
      </c>
      <c r="F282" s="7">
        <f>'01 Product Master'!I282</f>
        <v>0</v>
      </c>
      <c r="G282" s="7" t="str">
        <f>'01 Product Master'!J282</f>
        <v/>
      </c>
      <c r="H282" s="7" t="str">
        <f>'01 Product Master'!K282</f>
        <v/>
      </c>
      <c r="I282" s="1"/>
    </row>
    <row r="283" spans="1:9" ht="16" x14ac:dyDescent="0.2">
      <c r="A283" s="1" t="str">
        <f>'01 Product Master'!A283</f>
        <v>SN-0282</v>
      </c>
      <c r="B283" s="1">
        <f>'01 Product Master'!C283</f>
        <v>0</v>
      </c>
      <c r="C283" s="1">
        <f>'01 Product Master'!E283</f>
        <v>0</v>
      </c>
      <c r="D283" s="7">
        <f>'01 Product Master'!G283</f>
        <v>0</v>
      </c>
      <c r="E283" s="7">
        <f>'01 Product Master'!H283</f>
        <v>0</v>
      </c>
      <c r="F283" s="7">
        <f>'01 Product Master'!I283</f>
        <v>0</v>
      </c>
      <c r="G283" s="7" t="str">
        <f>'01 Product Master'!J283</f>
        <v/>
      </c>
      <c r="H283" s="7" t="str">
        <f>'01 Product Master'!K283</f>
        <v/>
      </c>
      <c r="I283" s="1"/>
    </row>
    <row r="284" spans="1:9" ht="16" x14ac:dyDescent="0.2">
      <c r="A284" s="1" t="str">
        <f>'01 Product Master'!A284</f>
        <v>SN-0283</v>
      </c>
      <c r="B284" s="1">
        <f>'01 Product Master'!C284</f>
        <v>0</v>
      </c>
      <c r="C284" s="1">
        <f>'01 Product Master'!E284</f>
        <v>0</v>
      </c>
      <c r="D284" s="7">
        <f>'01 Product Master'!G284</f>
        <v>0</v>
      </c>
      <c r="E284" s="7">
        <f>'01 Product Master'!H284</f>
        <v>0</v>
      </c>
      <c r="F284" s="7">
        <f>'01 Product Master'!I284</f>
        <v>0</v>
      </c>
      <c r="G284" s="7" t="str">
        <f>'01 Product Master'!J284</f>
        <v/>
      </c>
      <c r="H284" s="7" t="str">
        <f>'01 Product Master'!K284</f>
        <v/>
      </c>
      <c r="I284" s="1"/>
    </row>
    <row r="285" spans="1:9" ht="16" x14ac:dyDescent="0.2">
      <c r="A285" s="1" t="str">
        <f>'01 Product Master'!A285</f>
        <v>SN-0284</v>
      </c>
      <c r="B285" s="1">
        <f>'01 Product Master'!C285</f>
        <v>0</v>
      </c>
      <c r="C285" s="1">
        <f>'01 Product Master'!E285</f>
        <v>0</v>
      </c>
      <c r="D285" s="7">
        <f>'01 Product Master'!G285</f>
        <v>0</v>
      </c>
      <c r="E285" s="7">
        <f>'01 Product Master'!H285</f>
        <v>0</v>
      </c>
      <c r="F285" s="7">
        <f>'01 Product Master'!I285</f>
        <v>0</v>
      </c>
      <c r="G285" s="7" t="str">
        <f>'01 Product Master'!J285</f>
        <v/>
      </c>
      <c r="H285" s="7" t="str">
        <f>'01 Product Master'!K285</f>
        <v/>
      </c>
      <c r="I285" s="1"/>
    </row>
    <row r="286" spans="1:9" ht="16" x14ac:dyDescent="0.2">
      <c r="A286" s="1" t="str">
        <f>'01 Product Master'!A286</f>
        <v>SN-0285</v>
      </c>
      <c r="B286" s="1">
        <f>'01 Product Master'!C286</f>
        <v>0</v>
      </c>
      <c r="C286" s="1">
        <f>'01 Product Master'!E286</f>
        <v>0</v>
      </c>
      <c r="D286" s="7">
        <f>'01 Product Master'!G286</f>
        <v>0</v>
      </c>
      <c r="E286" s="7">
        <f>'01 Product Master'!H286</f>
        <v>0</v>
      </c>
      <c r="F286" s="7">
        <f>'01 Product Master'!I286</f>
        <v>0</v>
      </c>
      <c r="G286" s="7" t="str">
        <f>'01 Product Master'!J286</f>
        <v/>
      </c>
      <c r="H286" s="7" t="str">
        <f>'01 Product Master'!K286</f>
        <v/>
      </c>
      <c r="I286" s="1"/>
    </row>
    <row r="287" spans="1:9" ht="16" x14ac:dyDescent="0.2">
      <c r="A287" s="1" t="str">
        <f>'01 Product Master'!A287</f>
        <v>SN-0286</v>
      </c>
      <c r="B287" s="1">
        <f>'01 Product Master'!C287</f>
        <v>0</v>
      </c>
      <c r="C287" s="1">
        <f>'01 Product Master'!E287</f>
        <v>0</v>
      </c>
      <c r="D287" s="7">
        <f>'01 Product Master'!G287</f>
        <v>0</v>
      </c>
      <c r="E287" s="7">
        <f>'01 Product Master'!H287</f>
        <v>0</v>
      </c>
      <c r="F287" s="7">
        <f>'01 Product Master'!I287</f>
        <v>0</v>
      </c>
      <c r="G287" s="7" t="str">
        <f>'01 Product Master'!J287</f>
        <v/>
      </c>
      <c r="H287" s="7" t="str">
        <f>'01 Product Master'!K287</f>
        <v/>
      </c>
      <c r="I287" s="1"/>
    </row>
    <row r="288" spans="1:9" ht="16" x14ac:dyDescent="0.2">
      <c r="A288" s="1" t="str">
        <f>'01 Product Master'!A288</f>
        <v>SN-0287</v>
      </c>
      <c r="B288" s="1">
        <f>'01 Product Master'!C288</f>
        <v>0</v>
      </c>
      <c r="C288" s="1">
        <f>'01 Product Master'!E288</f>
        <v>0</v>
      </c>
      <c r="D288" s="7">
        <f>'01 Product Master'!G288</f>
        <v>0</v>
      </c>
      <c r="E288" s="7">
        <f>'01 Product Master'!H288</f>
        <v>0</v>
      </c>
      <c r="F288" s="7">
        <f>'01 Product Master'!I288</f>
        <v>0</v>
      </c>
      <c r="G288" s="7" t="str">
        <f>'01 Product Master'!J288</f>
        <v/>
      </c>
      <c r="H288" s="7" t="str">
        <f>'01 Product Master'!K288</f>
        <v/>
      </c>
      <c r="I288" s="1"/>
    </row>
    <row r="289" spans="1:9" ht="16" x14ac:dyDescent="0.2">
      <c r="A289" s="1" t="str">
        <f>'01 Product Master'!A289</f>
        <v>SN-0288</v>
      </c>
      <c r="B289" s="1">
        <f>'01 Product Master'!C289</f>
        <v>0</v>
      </c>
      <c r="C289" s="1">
        <f>'01 Product Master'!E289</f>
        <v>0</v>
      </c>
      <c r="D289" s="7">
        <f>'01 Product Master'!G289</f>
        <v>0</v>
      </c>
      <c r="E289" s="7">
        <f>'01 Product Master'!H289</f>
        <v>0</v>
      </c>
      <c r="F289" s="7">
        <f>'01 Product Master'!I289</f>
        <v>0</v>
      </c>
      <c r="G289" s="7" t="str">
        <f>'01 Product Master'!J289</f>
        <v/>
      </c>
      <c r="H289" s="7" t="str">
        <f>'01 Product Master'!K289</f>
        <v/>
      </c>
      <c r="I289" s="1"/>
    </row>
    <row r="290" spans="1:9" ht="16" x14ac:dyDescent="0.2">
      <c r="A290" s="1" t="str">
        <f>'01 Product Master'!A290</f>
        <v>SN-0289</v>
      </c>
      <c r="B290" s="1">
        <f>'01 Product Master'!C290</f>
        <v>0</v>
      </c>
      <c r="C290" s="1">
        <f>'01 Product Master'!E290</f>
        <v>0</v>
      </c>
      <c r="D290" s="7">
        <f>'01 Product Master'!G290</f>
        <v>0</v>
      </c>
      <c r="E290" s="7">
        <f>'01 Product Master'!H290</f>
        <v>0</v>
      </c>
      <c r="F290" s="7">
        <f>'01 Product Master'!I290</f>
        <v>0</v>
      </c>
      <c r="G290" s="7" t="str">
        <f>'01 Product Master'!J290</f>
        <v/>
      </c>
      <c r="H290" s="7" t="str">
        <f>'01 Product Master'!K290</f>
        <v/>
      </c>
      <c r="I290" s="1"/>
    </row>
    <row r="291" spans="1:9" ht="16" x14ac:dyDescent="0.2">
      <c r="A291" s="1" t="str">
        <f>'01 Product Master'!A291</f>
        <v>SN-0290</v>
      </c>
      <c r="B291" s="1">
        <f>'01 Product Master'!C291</f>
        <v>0</v>
      </c>
      <c r="C291" s="1">
        <f>'01 Product Master'!E291</f>
        <v>0</v>
      </c>
      <c r="D291" s="7">
        <f>'01 Product Master'!G291</f>
        <v>0</v>
      </c>
      <c r="E291" s="7">
        <f>'01 Product Master'!H291</f>
        <v>0</v>
      </c>
      <c r="F291" s="7">
        <f>'01 Product Master'!I291</f>
        <v>0</v>
      </c>
      <c r="G291" s="7" t="str">
        <f>'01 Product Master'!J291</f>
        <v/>
      </c>
      <c r="H291" s="7" t="str">
        <f>'01 Product Master'!K291</f>
        <v/>
      </c>
      <c r="I291" s="1"/>
    </row>
    <row r="292" spans="1:9" ht="16" x14ac:dyDescent="0.2">
      <c r="A292" s="1" t="str">
        <f>'01 Product Master'!A292</f>
        <v>SN-0291</v>
      </c>
      <c r="B292" s="1">
        <f>'01 Product Master'!C292</f>
        <v>0</v>
      </c>
      <c r="C292" s="1">
        <f>'01 Product Master'!E292</f>
        <v>0</v>
      </c>
      <c r="D292" s="7">
        <f>'01 Product Master'!G292</f>
        <v>0</v>
      </c>
      <c r="E292" s="7">
        <f>'01 Product Master'!H292</f>
        <v>0</v>
      </c>
      <c r="F292" s="7">
        <f>'01 Product Master'!I292</f>
        <v>0</v>
      </c>
      <c r="G292" s="7" t="str">
        <f>'01 Product Master'!J292</f>
        <v/>
      </c>
      <c r="H292" s="7" t="str">
        <f>'01 Product Master'!K292</f>
        <v/>
      </c>
      <c r="I292" s="1"/>
    </row>
    <row r="293" spans="1:9" ht="16" x14ac:dyDescent="0.2">
      <c r="A293" s="1" t="str">
        <f>'01 Product Master'!A293</f>
        <v>SN-0292</v>
      </c>
      <c r="B293" s="1">
        <f>'01 Product Master'!C293</f>
        <v>0</v>
      </c>
      <c r="C293" s="1">
        <f>'01 Product Master'!E293</f>
        <v>0</v>
      </c>
      <c r="D293" s="7">
        <f>'01 Product Master'!G293</f>
        <v>0</v>
      </c>
      <c r="E293" s="7">
        <f>'01 Product Master'!H293</f>
        <v>0</v>
      </c>
      <c r="F293" s="7">
        <f>'01 Product Master'!I293</f>
        <v>0</v>
      </c>
      <c r="G293" s="7" t="str">
        <f>'01 Product Master'!J293</f>
        <v/>
      </c>
      <c r="H293" s="7" t="str">
        <f>'01 Product Master'!K293</f>
        <v/>
      </c>
      <c r="I293" s="1"/>
    </row>
    <row r="294" spans="1:9" ht="16" x14ac:dyDescent="0.2">
      <c r="A294" s="1" t="str">
        <f>'01 Product Master'!A294</f>
        <v>SN-0293</v>
      </c>
      <c r="B294" s="1">
        <f>'01 Product Master'!C294</f>
        <v>0</v>
      </c>
      <c r="C294" s="1">
        <f>'01 Product Master'!E294</f>
        <v>0</v>
      </c>
      <c r="D294" s="7">
        <f>'01 Product Master'!G294</f>
        <v>0</v>
      </c>
      <c r="E294" s="7">
        <f>'01 Product Master'!H294</f>
        <v>0</v>
      </c>
      <c r="F294" s="7">
        <f>'01 Product Master'!I294</f>
        <v>0</v>
      </c>
      <c r="G294" s="7" t="str">
        <f>'01 Product Master'!J294</f>
        <v/>
      </c>
      <c r="H294" s="7" t="str">
        <f>'01 Product Master'!K294</f>
        <v/>
      </c>
      <c r="I294" s="1"/>
    </row>
    <row r="295" spans="1:9" ht="16" x14ac:dyDescent="0.2">
      <c r="A295" s="1" t="str">
        <f>'01 Product Master'!A295</f>
        <v>SN-0294</v>
      </c>
      <c r="B295" s="1">
        <f>'01 Product Master'!C295</f>
        <v>0</v>
      </c>
      <c r="C295" s="1">
        <f>'01 Product Master'!E295</f>
        <v>0</v>
      </c>
      <c r="D295" s="7">
        <f>'01 Product Master'!G295</f>
        <v>0</v>
      </c>
      <c r="E295" s="7">
        <f>'01 Product Master'!H295</f>
        <v>0</v>
      </c>
      <c r="F295" s="7">
        <f>'01 Product Master'!I295</f>
        <v>0</v>
      </c>
      <c r="G295" s="7" t="str">
        <f>'01 Product Master'!J295</f>
        <v/>
      </c>
      <c r="H295" s="7" t="str">
        <f>'01 Product Master'!K295</f>
        <v/>
      </c>
      <c r="I295" s="1"/>
    </row>
    <row r="296" spans="1:9" ht="16" x14ac:dyDescent="0.2">
      <c r="A296" s="1" t="str">
        <f>'01 Product Master'!A296</f>
        <v>SN-0295</v>
      </c>
      <c r="B296" s="1">
        <f>'01 Product Master'!C296</f>
        <v>0</v>
      </c>
      <c r="C296" s="1">
        <f>'01 Product Master'!E296</f>
        <v>0</v>
      </c>
      <c r="D296" s="7">
        <f>'01 Product Master'!G296</f>
        <v>0</v>
      </c>
      <c r="E296" s="7">
        <f>'01 Product Master'!H296</f>
        <v>0</v>
      </c>
      <c r="F296" s="7">
        <f>'01 Product Master'!I296</f>
        <v>0</v>
      </c>
      <c r="G296" s="7" t="str">
        <f>'01 Product Master'!J296</f>
        <v/>
      </c>
      <c r="H296" s="7" t="str">
        <f>'01 Product Master'!K296</f>
        <v/>
      </c>
      <c r="I296" s="1"/>
    </row>
    <row r="297" spans="1:9" ht="16" x14ac:dyDescent="0.2">
      <c r="A297" s="1" t="str">
        <f>'01 Product Master'!A297</f>
        <v>SN-0296</v>
      </c>
      <c r="B297" s="1">
        <f>'01 Product Master'!C297</f>
        <v>0</v>
      </c>
      <c r="C297" s="1">
        <f>'01 Product Master'!E297</f>
        <v>0</v>
      </c>
      <c r="D297" s="7">
        <f>'01 Product Master'!G297</f>
        <v>0</v>
      </c>
      <c r="E297" s="7">
        <f>'01 Product Master'!H297</f>
        <v>0</v>
      </c>
      <c r="F297" s="7">
        <f>'01 Product Master'!I297</f>
        <v>0</v>
      </c>
      <c r="G297" s="7" t="str">
        <f>'01 Product Master'!J297</f>
        <v/>
      </c>
      <c r="H297" s="7" t="str">
        <f>'01 Product Master'!K297</f>
        <v/>
      </c>
      <c r="I297" s="1"/>
    </row>
    <row r="298" spans="1:9" ht="16" x14ac:dyDescent="0.2">
      <c r="A298" s="1" t="str">
        <f>'01 Product Master'!A298</f>
        <v>SN-0297</v>
      </c>
      <c r="B298" s="1">
        <f>'01 Product Master'!C298</f>
        <v>0</v>
      </c>
      <c r="C298" s="1">
        <f>'01 Product Master'!E298</f>
        <v>0</v>
      </c>
      <c r="D298" s="7">
        <f>'01 Product Master'!G298</f>
        <v>0</v>
      </c>
      <c r="E298" s="7">
        <f>'01 Product Master'!H298</f>
        <v>0</v>
      </c>
      <c r="F298" s="7">
        <f>'01 Product Master'!I298</f>
        <v>0</v>
      </c>
      <c r="G298" s="7" t="str">
        <f>'01 Product Master'!J298</f>
        <v/>
      </c>
      <c r="H298" s="7" t="str">
        <f>'01 Product Master'!K298</f>
        <v/>
      </c>
      <c r="I298" s="1"/>
    </row>
    <row r="299" spans="1:9" ht="16" x14ac:dyDescent="0.2">
      <c r="A299" s="1" t="str">
        <f>'01 Product Master'!A299</f>
        <v>SN-0298</v>
      </c>
      <c r="B299" s="1">
        <f>'01 Product Master'!C299</f>
        <v>0</v>
      </c>
      <c r="C299" s="1">
        <f>'01 Product Master'!E299</f>
        <v>0</v>
      </c>
      <c r="D299" s="7">
        <f>'01 Product Master'!G299</f>
        <v>0</v>
      </c>
      <c r="E299" s="7">
        <f>'01 Product Master'!H299</f>
        <v>0</v>
      </c>
      <c r="F299" s="7">
        <f>'01 Product Master'!I299</f>
        <v>0</v>
      </c>
      <c r="G299" s="7" t="str">
        <f>'01 Product Master'!J299</f>
        <v/>
      </c>
      <c r="H299" s="7" t="str">
        <f>'01 Product Master'!K299</f>
        <v/>
      </c>
      <c r="I299" s="1"/>
    </row>
    <row r="300" spans="1:9" ht="16" x14ac:dyDescent="0.2">
      <c r="A300" s="1" t="str">
        <f>'01 Product Master'!A300</f>
        <v>SN-0299</v>
      </c>
      <c r="B300" s="1">
        <f>'01 Product Master'!C300</f>
        <v>0</v>
      </c>
      <c r="C300" s="1">
        <f>'01 Product Master'!E300</f>
        <v>0</v>
      </c>
      <c r="D300" s="7">
        <f>'01 Product Master'!G300</f>
        <v>0</v>
      </c>
      <c r="E300" s="7">
        <f>'01 Product Master'!H300</f>
        <v>0</v>
      </c>
      <c r="F300" s="7">
        <f>'01 Product Master'!I300</f>
        <v>0</v>
      </c>
      <c r="G300" s="7" t="str">
        <f>'01 Product Master'!J300</f>
        <v/>
      </c>
      <c r="H300" s="7" t="str">
        <f>'01 Product Master'!K300</f>
        <v/>
      </c>
      <c r="I300" s="1"/>
    </row>
    <row r="301" spans="1:9" ht="16" x14ac:dyDescent="0.2">
      <c r="A301" s="1" t="str">
        <f>'01 Product Master'!A301</f>
        <v>SN-0300</v>
      </c>
      <c r="B301" s="1">
        <f>'01 Product Master'!C301</f>
        <v>0</v>
      </c>
      <c r="C301" s="1">
        <f>'01 Product Master'!E301</f>
        <v>0</v>
      </c>
      <c r="D301" s="7">
        <f>'01 Product Master'!G301</f>
        <v>0</v>
      </c>
      <c r="E301" s="7">
        <f>'01 Product Master'!H301</f>
        <v>0</v>
      </c>
      <c r="F301" s="7">
        <f>'01 Product Master'!I301</f>
        <v>0</v>
      </c>
      <c r="G301" s="7" t="str">
        <f>'01 Product Master'!J301</f>
        <v/>
      </c>
      <c r="H301" s="7" t="str">
        <f>'01 Product Master'!K301</f>
        <v/>
      </c>
      <c r="I301" s="1"/>
    </row>
    <row r="302" spans="1:9" ht="16" x14ac:dyDescent="0.2">
      <c r="A302" s="1" t="str">
        <f>'01 Product Master'!A302</f>
        <v>SN-0301</v>
      </c>
      <c r="B302" s="1">
        <f>'01 Product Master'!C302</f>
        <v>0</v>
      </c>
      <c r="C302" s="1">
        <f>'01 Product Master'!E302</f>
        <v>0</v>
      </c>
      <c r="D302" s="7">
        <f>'01 Product Master'!G302</f>
        <v>0</v>
      </c>
      <c r="E302" s="7">
        <f>'01 Product Master'!H302</f>
        <v>0</v>
      </c>
      <c r="F302" s="7">
        <f>'01 Product Master'!I302</f>
        <v>0</v>
      </c>
      <c r="G302" s="7" t="str">
        <f>'01 Product Master'!J302</f>
        <v/>
      </c>
      <c r="H302" s="7" t="str">
        <f>'01 Product Master'!K302</f>
        <v/>
      </c>
      <c r="I302" s="1"/>
    </row>
    <row r="303" spans="1:9" ht="16" x14ac:dyDescent="0.2">
      <c r="A303" s="1" t="str">
        <f>'01 Product Master'!A303</f>
        <v>SN-0302</v>
      </c>
      <c r="B303" s="1">
        <f>'01 Product Master'!C303</f>
        <v>0</v>
      </c>
      <c r="C303" s="1">
        <f>'01 Product Master'!E303</f>
        <v>0</v>
      </c>
      <c r="D303" s="7">
        <f>'01 Product Master'!G303</f>
        <v>0</v>
      </c>
      <c r="E303" s="7">
        <f>'01 Product Master'!H303</f>
        <v>0</v>
      </c>
      <c r="F303" s="7">
        <f>'01 Product Master'!I303</f>
        <v>0</v>
      </c>
      <c r="G303" s="7" t="str">
        <f>'01 Product Master'!J303</f>
        <v/>
      </c>
      <c r="H303" s="7" t="str">
        <f>'01 Product Master'!K303</f>
        <v/>
      </c>
      <c r="I303" s="1"/>
    </row>
    <row r="304" spans="1:9" ht="16" x14ac:dyDescent="0.2">
      <c r="A304" s="1" t="str">
        <f>'01 Product Master'!A304</f>
        <v>SN-0303</v>
      </c>
      <c r="B304" s="1">
        <f>'01 Product Master'!C304</f>
        <v>0</v>
      </c>
      <c r="C304" s="1">
        <f>'01 Product Master'!E304</f>
        <v>0</v>
      </c>
      <c r="D304" s="7">
        <f>'01 Product Master'!G304</f>
        <v>0</v>
      </c>
      <c r="E304" s="7">
        <f>'01 Product Master'!H304</f>
        <v>0</v>
      </c>
      <c r="F304" s="7">
        <f>'01 Product Master'!I304</f>
        <v>0</v>
      </c>
      <c r="G304" s="7" t="str">
        <f>'01 Product Master'!J304</f>
        <v/>
      </c>
      <c r="H304" s="7" t="str">
        <f>'01 Product Master'!K304</f>
        <v/>
      </c>
      <c r="I304" s="1"/>
    </row>
    <row r="305" spans="1:9" ht="16" x14ac:dyDescent="0.2">
      <c r="A305" s="1" t="str">
        <f>'01 Product Master'!A305</f>
        <v>SN-0304</v>
      </c>
      <c r="B305" s="1">
        <f>'01 Product Master'!C305</f>
        <v>0</v>
      </c>
      <c r="C305" s="1">
        <f>'01 Product Master'!E305</f>
        <v>0</v>
      </c>
      <c r="D305" s="7">
        <f>'01 Product Master'!G305</f>
        <v>0</v>
      </c>
      <c r="E305" s="7">
        <f>'01 Product Master'!H305</f>
        <v>0</v>
      </c>
      <c r="F305" s="7">
        <f>'01 Product Master'!I305</f>
        <v>0</v>
      </c>
      <c r="G305" s="7" t="str">
        <f>'01 Product Master'!J305</f>
        <v/>
      </c>
      <c r="H305" s="7" t="str">
        <f>'01 Product Master'!K305</f>
        <v/>
      </c>
      <c r="I305" s="1"/>
    </row>
    <row r="306" spans="1:9" ht="16" x14ac:dyDescent="0.2">
      <c r="A306" s="1" t="str">
        <f>'01 Product Master'!A306</f>
        <v>SN-0305</v>
      </c>
      <c r="B306" s="1">
        <f>'01 Product Master'!C306</f>
        <v>0</v>
      </c>
      <c r="C306" s="1">
        <f>'01 Product Master'!E306</f>
        <v>0</v>
      </c>
      <c r="D306" s="7">
        <f>'01 Product Master'!G306</f>
        <v>0</v>
      </c>
      <c r="E306" s="7">
        <f>'01 Product Master'!H306</f>
        <v>0</v>
      </c>
      <c r="F306" s="7">
        <f>'01 Product Master'!I306</f>
        <v>0</v>
      </c>
      <c r="G306" s="7" t="str">
        <f>'01 Product Master'!J306</f>
        <v/>
      </c>
      <c r="H306" s="7" t="str">
        <f>'01 Product Master'!K306</f>
        <v/>
      </c>
      <c r="I306" s="1"/>
    </row>
    <row r="307" spans="1:9" ht="16" x14ac:dyDescent="0.2">
      <c r="A307" s="1" t="str">
        <f>'01 Product Master'!A307</f>
        <v>SN-0306</v>
      </c>
      <c r="B307" s="1">
        <f>'01 Product Master'!C307</f>
        <v>0</v>
      </c>
      <c r="C307" s="1">
        <f>'01 Product Master'!E307</f>
        <v>0</v>
      </c>
      <c r="D307" s="7">
        <f>'01 Product Master'!G307</f>
        <v>0</v>
      </c>
      <c r="E307" s="7">
        <f>'01 Product Master'!H307</f>
        <v>0</v>
      </c>
      <c r="F307" s="7">
        <f>'01 Product Master'!I307</f>
        <v>0</v>
      </c>
      <c r="G307" s="7" t="str">
        <f>'01 Product Master'!J307</f>
        <v/>
      </c>
      <c r="H307" s="7" t="str">
        <f>'01 Product Master'!K307</f>
        <v/>
      </c>
      <c r="I307" s="1"/>
    </row>
    <row r="308" spans="1:9" ht="16" x14ac:dyDescent="0.2">
      <c r="A308" s="1" t="str">
        <f>'01 Product Master'!A308</f>
        <v>SN-0307</v>
      </c>
      <c r="B308" s="1">
        <f>'01 Product Master'!C308</f>
        <v>0</v>
      </c>
      <c r="C308" s="1">
        <f>'01 Product Master'!E308</f>
        <v>0</v>
      </c>
      <c r="D308" s="7">
        <f>'01 Product Master'!G308</f>
        <v>0</v>
      </c>
      <c r="E308" s="7">
        <f>'01 Product Master'!H308</f>
        <v>0</v>
      </c>
      <c r="F308" s="7">
        <f>'01 Product Master'!I308</f>
        <v>0</v>
      </c>
      <c r="G308" s="7" t="str">
        <f>'01 Product Master'!J308</f>
        <v/>
      </c>
      <c r="H308" s="7" t="str">
        <f>'01 Product Master'!K308</f>
        <v/>
      </c>
      <c r="I308" s="1"/>
    </row>
    <row r="309" spans="1:9" ht="16" x14ac:dyDescent="0.2">
      <c r="A309" s="1" t="str">
        <f>'01 Product Master'!A309</f>
        <v>SN-0308</v>
      </c>
      <c r="B309" s="1">
        <f>'01 Product Master'!C309</f>
        <v>0</v>
      </c>
      <c r="C309" s="1">
        <f>'01 Product Master'!E309</f>
        <v>0</v>
      </c>
      <c r="D309" s="7">
        <f>'01 Product Master'!G309</f>
        <v>0</v>
      </c>
      <c r="E309" s="7">
        <f>'01 Product Master'!H309</f>
        <v>0</v>
      </c>
      <c r="F309" s="7">
        <f>'01 Product Master'!I309</f>
        <v>0</v>
      </c>
      <c r="G309" s="7" t="str">
        <f>'01 Product Master'!J309</f>
        <v/>
      </c>
      <c r="H309" s="7" t="str">
        <f>'01 Product Master'!K309</f>
        <v/>
      </c>
      <c r="I309" s="1"/>
    </row>
    <row r="310" spans="1:9" ht="16" x14ac:dyDescent="0.2">
      <c r="A310" s="1" t="str">
        <f>'01 Product Master'!A310</f>
        <v>SN-0309</v>
      </c>
      <c r="B310" s="1">
        <f>'01 Product Master'!C310</f>
        <v>0</v>
      </c>
      <c r="C310" s="1">
        <f>'01 Product Master'!E310</f>
        <v>0</v>
      </c>
      <c r="D310" s="7">
        <f>'01 Product Master'!G310</f>
        <v>0</v>
      </c>
      <c r="E310" s="7">
        <f>'01 Product Master'!H310</f>
        <v>0</v>
      </c>
      <c r="F310" s="7">
        <f>'01 Product Master'!I310</f>
        <v>0</v>
      </c>
      <c r="G310" s="7" t="str">
        <f>'01 Product Master'!J310</f>
        <v/>
      </c>
      <c r="H310" s="7" t="str">
        <f>'01 Product Master'!K310</f>
        <v/>
      </c>
      <c r="I310" s="1"/>
    </row>
    <row r="311" spans="1:9" ht="16" x14ac:dyDescent="0.2">
      <c r="A311" s="1" t="str">
        <f>'01 Product Master'!A311</f>
        <v>SN-0310</v>
      </c>
      <c r="B311" s="1">
        <f>'01 Product Master'!C311</f>
        <v>0</v>
      </c>
      <c r="C311" s="1">
        <f>'01 Product Master'!E311</f>
        <v>0</v>
      </c>
      <c r="D311" s="7">
        <f>'01 Product Master'!G311</f>
        <v>0</v>
      </c>
      <c r="E311" s="7">
        <f>'01 Product Master'!H311</f>
        <v>0</v>
      </c>
      <c r="F311" s="7">
        <f>'01 Product Master'!I311</f>
        <v>0</v>
      </c>
      <c r="G311" s="7" t="str">
        <f>'01 Product Master'!J311</f>
        <v/>
      </c>
      <c r="H311" s="7" t="str">
        <f>'01 Product Master'!K311</f>
        <v/>
      </c>
      <c r="I311" s="1"/>
    </row>
    <row r="312" spans="1:9" ht="16" x14ac:dyDescent="0.2">
      <c r="A312" s="1" t="str">
        <f>'01 Product Master'!A312</f>
        <v>SN-0311</v>
      </c>
      <c r="B312" s="1">
        <f>'01 Product Master'!C312</f>
        <v>0</v>
      </c>
      <c r="C312" s="1">
        <f>'01 Product Master'!E312</f>
        <v>0</v>
      </c>
      <c r="D312" s="7">
        <f>'01 Product Master'!G312</f>
        <v>0</v>
      </c>
      <c r="E312" s="7">
        <f>'01 Product Master'!H312</f>
        <v>0</v>
      </c>
      <c r="F312" s="7">
        <f>'01 Product Master'!I312</f>
        <v>0</v>
      </c>
      <c r="G312" s="7" t="str">
        <f>'01 Product Master'!J312</f>
        <v/>
      </c>
      <c r="H312" s="7" t="str">
        <f>'01 Product Master'!K312</f>
        <v/>
      </c>
      <c r="I312" s="1"/>
    </row>
    <row r="313" spans="1:9" ht="16" x14ac:dyDescent="0.2">
      <c r="A313" s="1" t="str">
        <f>'01 Product Master'!A313</f>
        <v>SN-0312</v>
      </c>
      <c r="B313" s="1">
        <f>'01 Product Master'!C313</f>
        <v>0</v>
      </c>
      <c r="C313" s="1">
        <f>'01 Product Master'!E313</f>
        <v>0</v>
      </c>
      <c r="D313" s="7">
        <f>'01 Product Master'!G313</f>
        <v>0</v>
      </c>
      <c r="E313" s="7">
        <f>'01 Product Master'!H313</f>
        <v>0</v>
      </c>
      <c r="F313" s="7">
        <f>'01 Product Master'!I313</f>
        <v>0</v>
      </c>
      <c r="G313" s="7" t="str">
        <f>'01 Product Master'!J313</f>
        <v/>
      </c>
      <c r="H313" s="7" t="str">
        <f>'01 Product Master'!K313</f>
        <v/>
      </c>
      <c r="I313" s="1"/>
    </row>
    <row r="314" spans="1:9" ht="16" x14ac:dyDescent="0.2">
      <c r="A314" s="1" t="str">
        <f>'01 Product Master'!A314</f>
        <v>SN-0313</v>
      </c>
      <c r="B314" s="1">
        <f>'01 Product Master'!C314</f>
        <v>0</v>
      </c>
      <c r="C314" s="1">
        <f>'01 Product Master'!E314</f>
        <v>0</v>
      </c>
      <c r="D314" s="7">
        <f>'01 Product Master'!G314</f>
        <v>0</v>
      </c>
      <c r="E314" s="7">
        <f>'01 Product Master'!H314</f>
        <v>0</v>
      </c>
      <c r="F314" s="7">
        <f>'01 Product Master'!I314</f>
        <v>0</v>
      </c>
      <c r="G314" s="7" t="str">
        <f>'01 Product Master'!J314</f>
        <v/>
      </c>
      <c r="H314" s="7" t="str">
        <f>'01 Product Master'!K314</f>
        <v/>
      </c>
      <c r="I314" s="1"/>
    </row>
    <row r="315" spans="1:9" ht="16" x14ac:dyDescent="0.2">
      <c r="A315" s="1" t="str">
        <f>'01 Product Master'!A315</f>
        <v>SN-0314</v>
      </c>
      <c r="B315" s="1">
        <f>'01 Product Master'!C315</f>
        <v>0</v>
      </c>
      <c r="C315" s="1">
        <f>'01 Product Master'!E315</f>
        <v>0</v>
      </c>
      <c r="D315" s="7">
        <f>'01 Product Master'!G315</f>
        <v>0</v>
      </c>
      <c r="E315" s="7">
        <f>'01 Product Master'!H315</f>
        <v>0</v>
      </c>
      <c r="F315" s="7">
        <f>'01 Product Master'!I315</f>
        <v>0</v>
      </c>
      <c r="G315" s="7" t="str">
        <f>'01 Product Master'!J315</f>
        <v/>
      </c>
      <c r="H315" s="7" t="str">
        <f>'01 Product Master'!K315</f>
        <v/>
      </c>
      <c r="I315" s="1"/>
    </row>
    <row r="316" spans="1:9" ht="16" x14ac:dyDescent="0.2">
      <c r="A316" s="1" t="str">
        <f>'01 Product Master'!A316</f>
        <v>SN-0315</v>
      </c>
      <c r="B316" s="1">
        <f>'01 Product Master'!C316</f>
        <v>0</v>
      </c>
      <c r="C316" s="1">
        <f>'01 Product Master'!E316</f>
        <v>0</v>
      </c>
      <c r="D316" s="7">
        <f>'01 Product Master'!G316</f>
        <v>0</v>
      </c>
      <c r="E316" s="7">
        <f>'01 Product Master'!H316</f>
        <v>0</v>
      </c>
      <c r="F316" s="7">
        <f>'01 Product Master'!I316</f>
        <v>0</v>
      </c>
      <c r="G316" s="7" t="str">
        <f>'01 Product Master'!J316</f>
        <v/>
      </c>
      <c r="H316" s="7" t="str">
        <f>'01 Product Master'!K316</f>
        <v/>
      </c>
      <c r="I316" s="1"/>
    </row>
    <row r="317" spans="1:9" ht="16" x14ac:dyDescent="0.2">
      <c r="A317" s="1" t="str">
        <f>'01 Product Master'!A317</f>
        <v>SN-0316</v>
      </c>
      <c r="B317" s="1">
        <f>'01 Product Master'!C317</f>
        <v>0</v>
      </c>
      <c r="C317" s="1">
        <f>'01 Product Master'!E317</f>
        <v>0</v>
      </c>
      <c r="D317" s="7">
        <f>'01 Product Master'!G317</f>
        <v>0</v>
      </c>
      <c r="E317" s="7">
        <f>'01 Product Master'!H317</f>
        <v>0</v>
      </c>
      <c r="F317" s="7">
        <f>'01 Product Master'!I317</f>
        <v>0</v>
      </c>
      <c r="G317" s="7" t="str">
        <f>'01 Product Master'!J317</f>
        <v/>
      </c>
      <c r="H317" s="7" t="str">
        <f>'01 Product Master'!K317</f>
        <v/>
      </c>
      <c r="I317" s="1"/>
    </row>
    <row r="318" spans="1:9" ht="16" x14ac:dyDescent="0.2">
      <c r="A318" s="1" t="str">
        <f>'01 Product Master'!A318</f>
        <v>SN-0317</v>
      </c>
      <c r="B318" s="1">
        <f>'01 Product Master'!C318</f>
        <v>0</v>
      </c>
      <c r="C318" s="1">
        <f>'01 Product Master'!E318</f>
        <v>0</v>
      </c>
      <c r="D318" s="7">
        <f>'01 Product Master'!G318</f>
        <v>0</v>
      </c>
      <c r="E318" s="7">
        <f>'01 Product Master'!H318</f>
        <v>0</v>
      </c>
      <c r="F318" s="7">
        <f>'01 Product Master'!I318</f>
        <v>0</v>
      </c>
      <c r="G318" s="7" t="str">
        <f>'01 Product Master'!J318</f>
        <v/>
      </c>
      <c r="H318" s="7" t="str">
        <f>'01 Product Master'!K318</f>
        <v/>
      </c>
      <c r="I318" s="1"/>
    </row>
    <row r="319" spans="1:9" ht="16" x14ac:dyDescent="0.2">
      <c r="A319" s="1" t="str">
        <f>'01 Product Master'!A319</f>
        <v>SN-0318</v>
      </c>
      <c r="B319" s="1">
        <f>'01 Product Master'!C319</f>
        <v>0</v>
      </c>
      <c r="C319" s="1">
        <f>'01 Product Master'!E319</f>
        <v>0</v>
      </c>
      <c r="D319" s="7">
        <f>'01 Product Master'!G319</f>
        <v>0</v>
      </c>
      <c r="E319" s="7">
        <f>'01 Product Master'!H319</f>
        <v>0</v>
      </c>
      <c r="F319" s="7">
        <f>'01 Product Master'!I319</f>
        <v>0</v>
      </c>
      <c r="G319" s="7" t="str">
        <f>'01 Product Master'!J319</f>
        <v/>
      </c>
      <c r="H319" s="7" t="str">
        <f>'01 Product Master'!K319</f>
        <v/>
      </c>
      <c r="I319" s="1"/>
    </row>
    <row r="320" spans="1:9" ht="16" x14ac:dyDescent="0.2">
      <c r="A320" s="1" t="str">
        <f>'01 Product Master'!A320</f>
        <v>SN-0319</v>
      </c>
      <c r="B320" s="1">
        <f>'01 Product Master'!C320</f>
        <v>0</v>
      </c>
      <c r="C320" s="1">
        <f>'01 Product Master'!E320</f>
        <v>0</v>
      </c>
      <c r="D320" s="7">
        <f>'01 Product Master'!G320</f>
        <v>0</v>
      </c>
      <c r="E320" s="7">
        <f>'01 Product Master'!H320</f>
        <v>0</v>
      </c>
      <c r="F320" s="7">
        <f>'01 Product Master'!I320</f>
        <v>0</v>
      </c>
      <c r="G320" s="7" t="str">
        <f>'01 Product Master'!J320</f>
        <v/>
      </c>
      <c r="H320" s="7" t="str">
        <f>'01 Product Master'!K320</f>
        <v/>
      </c>
      <c r="I320" s="1"/>
    </row>
    <row r="321" spans="1:9" ht="16" x14ac:dyDescent="0.2">
      <c r="A321" s="1" t="str">
        <f>'01 Product Master'!A321</f>
        <v>SN-0320</v>
      </c>
      <c r="B321" s="1">
        <f>'01 Product Master'!C321</f>
        <v>0</v>
      </c>
      <c r="C321" s="1">
        <f>'01 Product Master'!E321</f>
        <v>0</v>
      </c>
      <c r="D321" s="7">
        <f>'01 Product Master'!G321</f>
        <v>0</v>
      </c>
      <c r="E321" s="7">
        <f>'01 Product Master'!H321</f>
        <v>0</v>
      </c>
      <c r="F321" s="7">
        <f>'01 Product Master'!I321</f>
        <v>0</v>
      </c>
      <c r="G321" s="7" t="str">
        <f>'01 Product Master'!J321</f>
        <v/>
      </c>
      <c r="H321" s="7" t="str">
        <f>'01 Product Master'!K321</f>
        <v/>
      </c>
      <c r="I321" s="1"/>
    </row>
    <row r="322" spans="1:9" ht="16" x14ac:dyDescent="0.2">
      <c r="A322" s="1" t="str">
        <f>'01 Product Master'!A322</f>
        <v>SN-0321</v>
      </c>
      <c r="B322" s="1">
        <f>'01 Product Master'!C322</f>
        <v>0</v>
      </c>
      <c r="C322" s="1">
        <f>'01 Product Master'!E322</f>
        <v>0</v>
      </c>
      <c r="D322" s="7">
        <f>'01 Product Master'!G322</f>
        <v>0</v>
      </c>
      <c r="E322" s="7">
        <f>'01 Product Master'!H322</f>
        <v>0</v>
      </c>
      <c r="F322" s="7">
        <f>'01 Product Master'!I322</f>
        <v>0</v>
      </c>
      <c r="G322" s="7" t="str">
        <f>'01 Product Master'!J322</f>
        <v/>
      </c>
      <c r="H322" s="7" t="str">
        <f>'01 Product Master'!K322</f>
        <v/>
      </c>
      <c r="I322" s="1"/>
    </row>
    <row r="323" spans="1:9" ht="16" x14ac:dyDescent="0.2">
      <c r="A323" s="1" t="str">
        <f>'01 Product Master'!A323</f>
        <v>SN-0322</v>
      </c>
      <c r="B323" s="1">
        <f>'01 Product Master'!C323</f>
        <v>0</v>
      </c>
      <c r="C323" s="1">
        <f>'01 Product Master'!E323</f>
        <v>0</v>
      </c>
      <c r="D323" s="7">
        <f>'01 Product Master'!G323</f>
        <v>0</v>
      </c>
      <c r="E323" s="7">
        <f>'01 Product Master'!H323</f>
        <v>0</v>
      </c>
      <c r="F323" s="7">
        <f>'01 Product Master'!I323</f>
        <v>0</v>
      </c>
      <c r="G323" s="7" t="str">
        <f>'01 Product Master'!J323</f>
        <v/>
      </c>
      <c r="H323" s="7" t="str">
        <f>'01 Product Master'!K323</f>
        <v/>
      </c>
      <c r="I323" s="1"/>
    </row>
    <row r="324" spans="1:9" ht="16" x14ac:dyDescent="0.2">
      <c r="A324" s="1" t="str">
        <f>'01 Product Master'!A324</f>
        <v>SN-0323</v>
      </c>
      <c r="B324" s="1">
        <f>'01 Product Master'!C324</f>
        <v>0</v>
      </c>
      <c r="C324" s="1">
        <f>'01 Product Master'!E324</f>
        <v>0</v>
      </c>
      <c r="D324" s="7">
        <f>'01 Product Master'!G324</f>
        <v>0</v>
      </c>
      <c r="E324" s="7">
        <f>'01 Product Master'!H324</f>
        <v>0</v>
      </c>
      <c r="F324" s="7">
        <f>'01 Product Master'!I324</f>
        <v>0</v>
      </c>
      <c r="G324" s="7" t="str">
        <f>'01 Product Master'!J324</f>
        <v/>
      </c>
      <c r="H324" s="7" t="str">
        <f>'01 Product Master'!K324</f>
        <v/>
      </c>
      <c r="I324" s="1"/>
    </row>
    <row r="325" spans="1:9" ht="16" x14ac:dyDescent="0.2">
      <c r="A325" s="1" t="str">
        <f>'01 Product Master'!A325</f>
        <v>SN-0324</v>
      </c>
      <c r="B325" s="1">
        <f>'01 Product Master'!C325</f>
        <v>0</v>
      </c>
      <c r="C325" s="1">
        <f>'01 Product Master'!E325</f>
        <v>0</v>
      </c>
      <c r="D325" s="7">
        <f>'01 Product Master'!G325</f>
        <v>0</v>
      </c>
      <c r="E325" s="7">
        <f>'01 Product Master'!H325</f>
        <v>0</v>
      </c>
      <c r="F325" s="7">
        <f>'01 Product Master'!I325</f>
        <v>0</v>
      </c>
      <c r="G325" s="7" t="str">
        <f>'01 Product Master'!J325</f>
        <v/>
      </c>
      <c r="H325" s="7" t="str">
        <f>'01 Product Master'!K325</f>
        <v/>
      </c>
      <c r="I325" s="1"/>
    </row>
    <row r="326" spans="1:9" ht="16" x14ac:dyDescent="0.2">
      <c r="A326" s="1" t="str">
        <f>'01 Product Master'!A326</f>
        <v>SN-0325</v>
      </c>
      <c r="B326" s="1">
        <f>'01 Product Master'!C326</f>
        <v>0</v>
      </c>
      <c r="C326" s="1">
        <f>'01 Product Master'!E326</f>
        <v>0</v>
      </c>
      <c r="D326" s="7">
        <f>'01 Product Master'!G326</f>
        <v>0</v>
      </c>
      <c r="E326" s="7">
        <f>'01 Product Master'!H326</f>
        <v>0</v>
      </c>
      <c r="F326" s="7">
        <f>'01 Product Master'!I326</f>
        <v>0</v>
      </c>
      <c r="G326" s="7" t="str">
        <f>'01 Product Master'!J326</f>
        <v/>
      </c>
      <c r="H326" s="7" t="str">
        <f>'01 Product Master'!K326</f>
        <v/>
      </c>
      <c r="I326" s="1"/>
    </row>
    <row r="327" spans="1:9" ht="16" x14ac:dyDescent="0.2">
      <c r="A327" s="1" t="str">
        <f>'01 Product Master'!A327</f>
        <v>SN-0326</v>
      </c>
      <c r="B327" s="1">
        <f>'01 Product Master'!C327</f>
        <v>0</v>
      </c>
      <c r="C327" s="1">
        <f>'01 Product Master'!E327</f>
        <v>0</v>
      </c>
      <c r="D327" s="7">
        <f>'01 Product Master'!G327</f>
        <v>0</v>
      </c>
      <c r="E327" s="7">
        <f>'01 Product Master'!H327</f>
        <v>0</v>
      </c>
      <c r="F327" s="7">
        <f>'01 Product Master'!I327</f>
        <v>0</v>
      </c>
      <c r="G327" s="7" t="str">
        <f>'01 Product Master'!J327</f>
        <v/>
      </c>
      <c r="H327" s="7" t="str">
        <f>'01 Product Master'!K327</f>
        <v/>
      </c>
      <c r="I327" s="1"/>
    </row>
    <row r="328" spans="1:9" ht="16" x14ac:dyDescent="0.2">
      <c r="A328" s="1" t="str">
        <f>'01 Product Master'!A328</f>
        <v>SN-0327</v>
      </c>
      <c r="B328" s="1">
        <f>'01 Product Master'!C328</f>
        <v>0</v>
      </c>
      <c r="C328" s="1">
        <f>'01 Product Master'!E328</f>
        <v>0</v>
      </c>
      <c r="D328" s="7">
        <f>'01 Product Master'!G328</f>
        <v>0</v>
      </c>
      <c r="E328" s="7">
        <f>'01 Product Master'!H328</f>
        <v>0</v>
      </c>
      <c r="F328" s="7">
        <f>'01 Product Master'!I328</f>
        <v>0</v>
      </c>
      <c r="G328" s="7" t="str">
        <f>'01 Product Master'!J328</f>
        <v/>
      </c>
      <c r="H328" s="7" t="str">
        <f>'01 Product Master'!K328</f>
        <v/>
      </c>
      <c r="I328" s="1"/>
    </row>
    <row r="329" spans="1:9" ht="16" x14ac:dyDescent="0.2">
      <c r="A329" s="1" t="str">
        <f>'01 Product Master'!A329</f>
        <v>SN-0328</v>
      </c>
      <c r="B329" s="1">
        <f>'01 Product Master'!C329</f>
        <v>0</v>
      </c>
      <c r="C329" s="1">
        <f>'01 Product Master'!E329</f>
        <v>0</v>
      </c>
      <c r="D329" s="7">
        <f>'01 Product Master'!G329</f>
        <v>0</v>
      </c>
      <c r="E329" s="7">
        <f>'01 Product Master'!H329</f>
        <v>0</v>
      </c>
      <c r="F329" s="7">
        <f>'01 Product Master'!I329</f>
        <v>0</v>
      </c>
      <c r="G329" s="7" t="str">
        <f>'01 Product Master'!J329</f>
        <v/>
      </c>
      <c r="H329" s="7" t="str">
        <f>'01 Product Master'!K329</f>
        <v/>
      </c>
      <c r="I329" s="1"/>
    </row>
    <row r="330" spans="1:9" ht="16" x14ac:dyDescent="0.2">
      <c r="A330" s="1" t="str">
        <f>'01 Product Master'!A330</f>
        <v>SN-0329</v>
      </c>
      <c r="B330" s="1">
        <f>'01 Product Master'!C330</f>
        <v>0</v>
      </c>
      <c r="C330" s="1">
        <f>'01 Product Master'!E330</f>
        <v>0</v>
      </c>
      <c r="D330" s="7">
        <f>'01 Product Master'!G330</f>
        <v>0</v>
      </c>
      <c r="E330" s="7">
        <f>'01 Product Master'!H330</f>
        <v>0</v>
      </c>
      <c r="F330" s="7">
        <f>'01 Product Master'!I330</f>
        <v>0</v>
      </c>
      <c r="G330" s="7" t="str">
        <f>'01 Product Master'!J330</f>
        <v/>
      </c>
      <c r="H330" s="7" t="str">
        <f>'01 Product Master'!K330</f>
        <v/>
      </c>
      <c r="I330" s="1"/>
    </row>
    <row r="331" spans="1:9" ht="16" x14ac:dyDescent="0.2">
      <c r="A331" s="1" t="str">
        <f>'01 Product Master'!A331</f>
        <v>SN-0330</v>
      </c>
      <c r="B331" s="1">
        <f>'01 Product Master'!C331</f>
        <v>0</v>
      </c>
      <c r="C331" s="1">
        <f>'01 Product Master'!E331</f>
        <v>0</v>
      </c>
      <c r="D331" s="7">
        <f>'01 Product Master'!G331</f>
        <v>0</v>
      </c>
      <c r="E331" s="7">
        <f>'01 Product Master'!H331</f>
        <v>0</v>
      </c>
      <c r="F331" s="7">
        <f>'01 Product Master'!I331</f>
        <v>0</v>
      </c>
      <c r="G331" s="7" t="str">
        <f>'01 Product Master'!J331</f>
        <v/>
      </c>
      <c r="H331" s="7" t="str">
        <f>'01 Product Master'!K331</f>
        <v/>
      </c>
      <c r="I331" s="1"/>
    </row>
    <row r="332" spans="1:9" ht="16" x14ac:dyDescent="0.2">
      <c r="A332" s="1" t="str">
        <f>'01 Product Master'!A332</f>
        <v>SN-0331</v>
      </c>
      <c r="B332" s="1">
        <f>'01 Product Master'!C332</f>
        <v>0</v>
      </c>
      <c r="C332" s="1">
        <f>'01 Product Master'!E332</f>
        <v>0</v>
      </c>
      <c r="D332" s="7">
        <f>'01 Product Master'!G332</f>
        <v>0</v>
      </c>
      <c r="E332" s="7">
        <f>'01 Product Master'!H332</f>
        <v>0</v>
      </c>
      <c r="F332" s="7">
        <f>'01 Product Master'!I332</f>
        <v>0</v>
      </c>
      <c r="G332" s="7" t="str">
        <f>'01 Product Master'!J332</f>
        <v/>
      </c>
      <c r="H332" s="7" t="str">
        <f>'01 Product Master'!K332</f>
        <v/>
      </c>
      <c r="I332" s="1"/>
    </row>
    <row r="333" spans="1:9" ht="16" x14ac:dyDescent="0.2">
      <c r="A333" s="1" t="str">
        <f>'01 Product Master'!A333</f>
        <v>SN-0332</v>
      </c>
      <c r="B333" s="1">
        <f>'01 Product Master'!C333</f>
        <v>0</v>
      </c>
      <c r="C333" s="1">
        <f>'01 Product Master'!E333</f>
        <v>0</v>
      </c>
      <c r="D333" s="7">
        <f>'01 Product Master'!G333</f>
        <v>0</v>
      </c>
      <c r="E333" s="7">
        <f>'01 Product Master'!H333</f>
        <v>0</v>
      </c>
      <c r="F333" s="7">
        <f>'01 Product Master'!I333</f>
        <v>0</v>
      </c>
      <c r="G333" s="7" t="str">
        <f>'01 Product Master'!J333</f>
        <v/>
      </c>
      <c r="H333" s="7" t="str">
        <f>'01 Product Master'!K333</f>
        <v/>
      </c>
      <c r="I333" s="1"/>
    </row>
    <row r="334" spans="1:9" ht="16" x14ac:dyDescent="0.2">
      <c r="A334" s="1" t="str">
        <f>'01 Product Master'!A334</f>
        <v>SN-0333</v>
      </c>
      <c r="B334" s="1">
        <f>'01 Product Master'!C334</f>
        <v>0</v>
      </c>
      <c r="C334" s="1">
        <f>'01 Product Master'!E334</f>
        <v>0</v>
      </c>
      <c r="D334" s="7">
        <f>'01 Product Master'!G334</f>
        <v>0</v>
      </c>
      <c r="E334" s="7">
        <f>'01 Product Master'!H334</f>
        <v>0</v>
      </c>
      <c r="F334" s="7">
        <f>'01 Product Master'!I334</f>
        <v>0</v>
      </c>
      <c r="G334" s="7" t="str">
        <f>'01 Product Master'!J334</f>
        <v/>
      </c>
      <c r="H334" s="7" t="str">
        <f>'01 Product Master'!K334</f>
        <v/>
      </c>
      <c r="I334" s="1"/>
    </row>
    <row r="335" spans="1:9" ht="16" x14ac:dyDescent="0.2">
      <c r="A335" s="1" t="str">
        <f>'01 Product Master'!A335</f>
        <v>SN-0334</v>
      </c>
      <c r="B335" s="1">
        <f>'01 Product Master'!C335</f>
        <v>0</v>
      </c>
      <c r="C335" s="1">
        <f>'01 Product Master'!E335</f>
        <v>0</v>
      </c>
      <c r="D335" s="7">
        <f>'01 Product Master'!G335</f>
        <v>0</v>
      </c>
      <c r="E335" s="7">
        <f>'01 Product Master'!H335</f>
        <v>0</v>
      </c>
      <c r="F335" s="7">
        <f>'01 Product Master'!I335</f>
        <v>0</v>
      </c>
      <c r="G335" s="7" t="str">
        <f>'01 Product Master'!J335</f>
        <v/>
      </c>
      <c r="H335" s="7" t="str">
        <f>'01 Product Master'!K335</f>
        <v/>
      </c>
      <c r="I335" s="1"/>
    </row>
    <row r="336" spans="1:9" ht="16" x14ac:dyDescent="0.2">
      <c r="A336" s="1" t="str">
        <f>'01 Product Master'!A336</f>
        <v>SN-0335</v>
      </c>
      <c r="B336" s="1">
        <f>'01 Product Master'!C336</f>
        <v>0</v>
      </c>
      <c r="C336" s="1">
        <f>'01 Product Master'!E336</f>
        <v>0</v>
      </c>
      <c r="D336" s="7">
        <f>'01 Product Master'!G336</f>
        <v>0</v>
      </c>
      <c r="E336" s="7">
        <f>'01 Product Master'!H336</f>
        <v>0</v>
      </c>
      <c r="F336" s="7">
        <f>'01 Product Master'!I336</f>
        <v>0</v>
      </c>
      <c r="G336" s="7" t="str">
        <f>'01 Product Master'!J336</f>
        <v/>
      </c>
      <c r="H336" s="7" t="str">
        <f>'01 Product Master'!K336</f>
        <v/>
      </c>
      <c r="I336" s="1"/>
    </row>
    <row r="337" spans="1:9" ht="16" x14ac:dyDescent="0.2">
      <c r="A337" s="1" t="str">
        <f>'01 Product Master'!A337</f>
        <v>SN-0336</v>
      </c>
      <c r="B337" s="1">
        <f>'01 Product Master'!C337</f>
        <v>0</v>
      </c>
      <c r="C337" s="1">
        <f>'01 Product Master'!E337</f>
        <v>0</v>
      </c>
      <c r="D337" s="7">
        <f>'01 Product Master'!G337</f>
        <v>0</v>
      </c>
      <c r="E337" s="7">
        <f>'01 Product Master'!H337</f>
        <v>0</v>
      </c>
      <c r="F337" s="7">
        <f>'01 Product Master'!I337</f>
        <v>0</v>
      </c>
      <c r="G337" s="7" t="str">
        <f>'01 Product Master'!J337</f>
        <v/>
      </c>
      <c r="H337" s="7" t="str">
        <f>'01 Product Master'!K337</f>
        <v/>
      </c>
      <c r="I337" s="1"/>
    </row>
    <row r="338" spans="1:9" ht="16" x14ac:dyDescent="0.2">
      <c r="A338" s="1" t="str">
        <f>'01 Product Master'!A338</f>
        <v>SN-0337</v>
      </c>
      <c r="B338" s="1">
        <f>'01 Product Master'!C338</f>
        <v>0</v>
      </c>
      <c r="C338" s="1">
        <f>'01 Product Master'!E338</f>
        <v>0</v>
      </c>
      <c r="D338" s="7">
        <f>'01 Product Master'!G338</f>
        <v>0</v>
      </c>
      <c r="E338" s="7">
        <f>'01 Product Master'!H338</f>
        <v>0</v>
      </c>
      <c r="F338" s="7">
        <f>'01 Product Master'!I338</f>
        <v>0</v>
      </c>
      <c r="G338" s="7" t="str">
        <f>'01 Product Master'!J338</f>
        <v/>
      </c>
      <c r="H338" s="7" t="str">
        <f>'01 Product Master'!K338</f>
        <v/>
      </c>
      <c r="I338" s="1"/>
    </row>
    <row r="339" spans="1:9" ht="16" x14ac:dyDescent="0.2">
      <c r="A339" s="1" t="str">
        <f>'01 Product Master'!A339</f>
        <v>SN-0338</v>
      </c>
      <c r="B339" s="1">
        <f>'01 Product Master'!C339</f>
        <v>0</v>
      </c>
      <c r="C339" s="1">
        <f>'01 Product Master'!E339</f>
        <v>0</v>
      </c>
      <c r="D339" s="7">
        <f>'01 Product Master'!G339</f>
        <v>0</v>
      </c>
      <c r="E339" s="7">
        <f>'01 Product Master'!H339</f>
        <v>0</v>
      </c>
      <c r="F339" s="7">
        <f>'01 Product Master'!I339</f>
        <v>0</v>
      </c>
      <c r="G339" s="7" t="str">
        <f>'01 Product Master'!J339</f>
        <v/>
      </c>
      <c r="H339" s="7" t="str">
        <f>'01 Product Master'!K339</f>
        <v/>
      </c>
      <c r="I339" s="1"/>
    </row>
    <row r="340" spans="1:9" ht="16" x14ac:dyDescent="0.2">
      <c r="A340" s="1" t="str">
        <f>'01 Product Master'!A340</f>
        <v>SN-0339</v>
      </c>
      <c r="B340" s="1">
        <f>'01 Product Master'!C340</f>
        <v>0</v>
      </c>
      <c r="C340" s="1">
        <f>'01 Product Master'!E340</f>
        <v>0</v>
      </c>
      <c r="D340" s="7">
        <f>'01 Product Master'!G340</f>
        <v>0</v>
      </c>
      <c r="E340" s="7">
        <f>'01 Product Master'!H340</f>
        <v>0</v>
      </c>
      <c r="F340" s="7">
        <f>'01 Product Master'!I340</f>
        <v>0</v>
      </c>
      <c r="G340" s="7" t="str">
        <f>'01 Product Master'!J340</f>
        <v/>
      </c>
      <c r="H340" s="7" t="str">
        <f>'01 Product Master'!K340</f>
        <v/>
      </c>
      <c r="I340" s="1"/>
    </row>
    <row r="341" spans="1:9" ht="16" x14ac:dyDescent="0.2">
      <c r="A341" s="1" t="str">
        <f>'01 Product Master'!A341</f>
        <v>SN-0340</v>
      </c>
      <c r="B341" s="1">
        <f>'01 Product Master'!C341</f>
        <v>0</v>
      </c>
      <c r="C341" s="1">
        <f>'01 Product Master'!E341</f>
        <v>0</v>
      </c>
      <c r="D341" s="7">
        <f>'01 Product Master'!G341</f>
        <v>0</v>
      </c>
      <c r="E341" s="7">
        <f>'01 Product Master'!H341</f>
        <v>0</v>
      </c>
      <c r="F341" s="7">
        <f>'01 Product Master'!I341</f>
        <v>0</v>
      </c>
      <c r="G341" s="7" t="str">
        <f>'01 Product Master'!J341</f>
        <v/>
      </c>
      <c r="H341" s="7" t="str">
        <f>'01 Product Master'!K341</f>
        <v/>
      </c>
      <c r="I341" s="1"/>
    </row>
    <row r="342" spans="1:9" ht="16" x14ac:dyDescent="0.2">
      <c r="A342" s="1" t="str">
        <f>'01 Product Master'!A342</f>
        <v>SN-0341</v>
      </c>
      <c r="B342" s="1">
        <f>'01 Product Master'!C342</f>
        <v>0</v>
      </c>
      <c r="C342" s="1">
        <f>'01 Product Master'!E342</f>
        <v>0</v>
      </c>
      <c r="D342" s="7">
        <f>'01 Product Master'!G342</f>
        <v>0</v>
      </c>
      <c r="E342" s="7">
        <f>'01 Product Master'!H342</f>
        <v>0</v>
      </c>
      <c r="F342" s="7">
        <f>'01 Product Master'!I342</f>
        <v>0</v>
      </c>
      <c r="G342" s="7" t="str">
        <f>'01 Product Master'!J342</f>
        <v/>
      </c>
      <c r="H342" s="7" t="str">
        <f>'01 Product Master'!K342</f>
        <v/>
      </c>
      <c r="I342" s="1"/>
    </row>
    <row r="343" spans="1:9" ht="16" x14ac:dyDescent="0.2">
      <c r="A343" s="1" t="str">
        <f>'01 Product Master'!A343</f>
        <v>SN-0342</v>
      </c>
      <c r="B343" s="1">
        <f>'01 Product Master'!C343</f>
        <v>0</v>
      </c>
      <c r="C343" s="1">
        <f>'01 Product Master'!E343</f>
        <v>0</v>
      </c>
      <c r="D343" s="7">
        <f>'01 Product Master'!G343</f>
        <v>0</v>
      </c>
      <c r="E343" s="7">
        <f>'01 Product Master'!H343</f>
        <v>0</v>
      </c>
      <c r="F343" s="7">
        <f>'01 Product Master'!I343</f>
        <v>0</v>
      </c>
      <c r="G343" s="7" t="str">
        <f>'01 Product Master'!J343</f>
        <v/>
      </c>
      <c r="H343" s="7" t="str">
        <f>'01 Product Master'!K343</f>
        <v/>
      </c>
      <c r="I343" s="1"/>
    </row>
    <row r="344" spans="1:9" ht="16" x14ac:dyDescent="0.2">
      <c r="A344" s="1" t="str">
        <f>'01 Product Master'!A344</f>
        <v>SN-0343</v>
      </c>
      <c r="B344" s="1">
        <f>'01 Product Master'!C344</f>
        <v>0</v>
      </c>
      <c r="C344" s="1">
        <f>'01 Product Master'!E344</f>
        <v>0</v>
      </c>
      <c r="D344" s="7">
        <f>'01 Product Master'!G344</f>
        <v>0</v>
      </c>
      <c r="E344" s="7">
        <f>'01 Product Master'!H344</f>
        <v>0</v>
      </c>
      <c r="F344" s="7">
        <f>'01 Product Master'!I344</f>
        <v>0</v>
      </c>
      <c r="G344" s="7" t="str">
        <f>'01 Product Master'!J344</f>
        <v/>
      </c>
      <c r="H344" s="7" t="str">
        <f>'01 Product Master'!K344</f>
        <v/>
      </c>
      <c r="I344" s="1"/>
    </row>
    <row r="345" spans="1:9" ht="16" x14ac:dyDescent="0.2">
      <c r="A345" s="1" t="str">
        <f>'01 Product Master'!A345</f>
        <v>SN-0344</v>
      </c>
      <c r="B345" s="1">
        <f>'01 Product Master'!C345</f>
        <v>0</v>
      </c>
      <c r="C345" s="1">
        <f>'01 Product Master'!E345</f>
        <v>0</v>
      </c>
      <c r="D345" s="7">
        <f>'01 Product Master'!G345</f>
        <v>0</v>
      </c>
      <c r="E345" s="7">
        <f>'01 Product Master'!H345</f>
        <v>0</v>
      </c>
      <c r="F345" s="7">
        <f>'01 Product Master'!I345</f>
        <v>0</v>
      </c>
      <c r="G345" s="7" t="str">
        <f>'01 Product Master'!J345</f>
        <v/>
      </c>
      <c r="H345" s="7" t="str">
        <f>'01 Product Master'!K345</f>
        <v/>
      </c>
      <c r="I345" s="1"/>
    </row>
    <row r="346" spans="1:9" ht="16" x14ac:dyDescent="0.2">
      <c r="A346" s="1" t="str">
        <f>'01 Product Master'!A346</f>
        <v>SN-0345</v>
      </c>
      <c r="B346" s="1">
        <f>'01 Product Master'!C346</f>
        <v>0</v>
      </c>
      <c r="C346" s="1">
        <f>'01 Product Master'!E346</f>
        <v>0</v>
      </c>
      <c r="D346" s="7">
        <f>'01 Product Master'!G346</f>
        <v>0</v>
      </c>
      <c r="E346" s="7">
        <f>'01 Product Master'!H346</f>
        <v>0</v>
      </c>
      <c r="F346" s="7">
        <f>'01 Product Master'!I346</f>
        <v>0</v>
      </c>
      <c r="G346" s="7" t="str">
        <f>'01 Product Master'!J346</f>
        <v/>
      </c>
      <c r="H346" s="7" t="str">
        <f>'01 Product Master'!K346</f>
        <v/>
      </c>
      <c r="I346" s="1"/>
    </row>
    <row r="347" spans="1:9" ht="16" x14ac:dyDescent="0.2">
      <c r="A347" s="1" t="str">
        <f>'01 Product Master'!A347</f>
        <v>SN-0346</v>
      </c>
      <c r="B347" s="1">
        <f>'01 Product Master'!C347</f>
        <v>0</v>
      </c>
      <c r="C347" s="1">
        <f>'01 Product Master'!E347</f>
        <v>0</v>
      </c>
      <c r="D347" s="7">
        <f>'01 Product Master'!G347</f>
        <v>0</v>
      </c>
      <c r="E347" s="7">
        <f>'01 Product Master'!H347</f>
        <v>0</v>
      </c>
      <c r="F347" s="7">
        <f>'01 Product Master'!I347</f>
        <v>0</v>
      </c>
      <c r="G347" s="7" t="str">
        <f>'01 Product Master'!J347</f>
        <v/>
      </c>
      <c r="H347" s="7" t="str">
        <f>'01 Product Master'!K347</f>
        <v/>
      </c>
      <c r="I347" s="1"/>
    </row>
    <row r="348" spans="1:9" ht="16" x14ac:dyDescent="0.2">
      <c r="A348" s="1" t="str">
        <f>'01 Product Master'!A348</f>
        <v>SN-0347</v>
      </c>
      <c r="B348" s="1">
        <f>'01 Product Master'!C348</f>
        <v>0</v>
      </c>
      <c r="C348" s="1">
        <f>'01 Product Master'!E348</f>
        <v>0</v>
      </c>
      <c r="D348" s="7">
        <f>'01 Product Master'!G348</f>
        <v>0</v>
      </c>
      <c r="E348" s="7">
        <f>'01 Product Master'!H348</f>
        <v>0</v>
      </c>
      <c r="F348" s="7">
        <f>'01 Product Master'!I348</f>
        <v>0</v>
      </c>
      <c r="G348" s="7" t="str">
        <f>'01 Product Master'!J348</f>
        <v/>
      </c>
      <c r="H348" s="7" t="str">
        <f>'01 Product Master'!K348</f>
        <v/>
      </c>
      <c r="I348" s="1"/>
    </row>
    <row r="349" spans="1:9" ht="16" x14ac:dyDescent="0.2">
      <c r="A349" s="1" t="str">
        <f>'01 Product Master'!A349</f>
        <v>SN-0348</v>
      </c>
      <c r="B349" s="1">
        <f>'01 Product Master'!C349</f>
        <v>0</v>
      </c>
      <c r="C349" s="1">
        <f>'01 Product Master'!E349</f>
        <v>0</v>
      </c>
      <c r="D349" s="7">
        <f>'01 Product Master'!G349</f>
        <v>0</v>
      </c>
      <c r="E349" s="7">
        <f>'01 Product Master'!H349</f>
        <v>0</v>
      </c>
      <c r="F349" s="7">
        <f>'01 Product Master'!I349</f>
        <v>0</v>
      </c>
      <c r="G349" s="7" t="str">
        <f>'01 Product Master'!J349</f>
        <v/>
      </c>
      <c r="H349" s="7" t="str">
        <f>'01 Product Master'!K349</f>
        <v/>
      </c>
      <c r="I349" s="1"/>
    </row>
    <row r="350" spans="1:9" ht="16" x14ac:dyDescent="0.2">
      <c r="A350" s="1" t="str">
        <f>'01 Product Master'!A350</f>
        <v>SN-0349</v>
      </c>
      <c r="B350" s="1">
        <f>'01 Product Master'!C350</f>
        <v>0</v>
      </c>
      <c r="C350" s="1">
        <f>'01 Product Master'!E350</f>
        <v>0</v>
      </c>
      <c r="D350" s="7">
        <f>'01 Product Master'!G350</f>
        <v>0</v>
      </c>
      <c r="E350" s="7">
        <f>'01 Product Master'!H350</f>
        <v>0</v>
      </c>
      <c r="F350" s="7">
        <f>'01 Product Master'!I350</f>
        <v>0</v>
      </c>
      <c r="G350" s="7" t="str">
        <f>'01 Product Master'!J350</f>
        <v/>
      </c>
      <c r="H350" s="7" t="str">
        <f>'01 Product Master'!K350</f>
        <v/>
      </c>
      <c r="I350" s="1"/>
    </row>
    <row r="351" spans="1:9" ht="16" x14ac:dyDescent="0.2">
      <c r="A351" s="1" t="str">
        <f>'01 Product Master'!A351</f>
        <v>SN-0350</v>
      </c>
      <c r="B351" s="1">
        <f>'01 Product Master'!C351</f>
        <v>0</v>
      </c>
      <c r="C351" s="1">
        <f>'01 Product Master'!E351</f>
        <v>0</v>
      </c>
      <c r="D351" s="7">
        <f>'01 Product Master'!G351</f>
        <v>0</v>
      </c>
      <c r="E351" s="7">
        <f>'01 Product Master'!H351</f>
        <v>0</v>
      </c>
      <c r="F351" s="7">
        <f>'01 Product Master'!I351</f>
        <v>0</v>
      </c>
      <c r="G351" s="7" t="str">
        <f>'01 Product Master'!J351</f>
        <v/>
      </c>
      <c r="H351" s="7" t="str">
        <f>'01 Product Master'!K351</f>
        <v/>
      </c>
      <c r="I351" s="1"/>
    </row>
    <row r="352" spans="1:9" ht="16" x14ac:dyDescent="0.2">
      <c r="A352" s="1" t="str">
        <f>'01 Product Master'!A352</f>
        <v>SN-0351</v>
      </c>
      <c r="B352" s="1">
        <f>'01 Product Master'!C352</f>
        <v>0</v>
      </c>
      <c r="C352" s="1">
        <f>'01 Product Master'!E352</f>
        <v>0</v>
      </c>
      <c r="D352" s="7">
        <f>'01 Product Master'!G352</f>
        <v>0</v>
      </c>
      <c r="E352" s="7">
        <f>'01 Product Master'!H352</f>
        <v>0</v>
      </c>
      <c r="F352" s="7">
        <f>'01 Product Master'!I352</f>
        <v>0</v>
      </c>
      <c r="G352" s="7" t="str">
        <f>'01 Product Master'!J352</f>
        <v/>
      </c>
      <c r="H352" s="7" t="str">
        <f>'01 Product Master'!K352</f>
        <v/>
      </c>
      <c r="I352" s="1"/>
    </row>
    <row r="353" spans="1:9" ht="16" x14ac:dyDescent="0.2">
      <c r="A353" s="1" t="str">
        <f>'01 Product Master'!A353</f>
        <v>SN-0352</v>
      </c>
      <c r="B353" s="1">
        <f>'01 Product Master'!C353</f>
        <v>0</v>
      </c>
      <c r="C353" s="1">
        <f>'01 Product Master'!E353</f>
        <v>0</v>
      </c>
      <c r="D353" s="7">
        <f>'01 Product Master'!G353</f>
        <v>0</v>
      </c>
      <c r="E353" s="7">
        <f>'01 Product Master'!H353</f>
        <v>0</v>
      </c>
      <c r="F353" s="7">
        <f>'01 Product Master'!I353</f>
        <v>0</v>
      </c>
      <c r="G353" s="7" t="str">
        <f>'01 Product Master'!J353</f>
        <v/>
      </c>
      <c r="H353" s="7" t="str">
        <f>'01 Product Master'!K353</f>
        <v/>
      </c>
      <c r="I353" s="1"/>
    </row>
    <row r="354" spans="1:9" ht="16" x14ac:dyDescent="0.2">
      <c r="A354" s="1" t="str">
        <f>'01 Product Master'!A354</f>
        <v>SN-0353</v>
      </c>
      <c r="B354" s="1">
        <f>'01 Product Master'!C354</f>
        <v>0</v>
      </c>
      <c r="C354" s="1">
        <f>'01 Product Master'!E354</f>
        <v>0</v>
      </c>
      <c r="D354" s="7">
        <f>'01 Product Master'!G354</f>
        <v>0</v>
      </c>
      <c r="E354" s="7">
        <f>'01 Product Master'!H354</f>
        <v>0</v>
      </c>
      <c r="F354" s="7">
        <f>'01 Product Master'!I354</f>
        <v>0</v>
      </c>
      <c r="G354" s="7" t="str">
        <f>'01 Product Master'!J354</f>
        <v/>
      </c>
      <c r="H354" s="7" t="str">
        <f>'01 Product Master'!K354</f>
        <v/>
      </c>
      <c r="I354" s="1"/>
    </row>
    <row r="355" spans="1:9" ht="16" x14ac:dyDescent="0.2">
      <c r="A355" s="1" t="str">
        <f>'01 Product Master'!A355</f>
        <v>SN-0354</v>
      </c>
      <c r="B355" s="1">
        <f>'01 Product Master'!C355</f>
        <v>0</v>
      </c>
      <c r="C355" s="1">
        <f>'01 Product Master'!E355</f>
        <v>0</v>
      </c>
      <c r="D355" s="7">
        <f>'01 Product Master'!G355</f>
        <v>0</v>
      </c>
      <c r="E355" s="7">
        <f>'01 Product Master'!H355</f>
        <v>0</v>
      </c>
      <c r="F355" s="7">
        <f>'01 Product Master'!I355</f>
        <v>0</v>
      </c>
      <c r="G355" s="7" t="str">
        <f>'01 Product Master'!J355</f>
        <v/>
      </c>
      <c r="H355" s="7" t="str">
        <f>'01 Product Master'!K355</f>
        <v/>
      </c>
      <c r="I355" s="1"/>
    </row>
    <row r="356" spans="1:9" ht="16" x14ac:dyDescent="0.2">
      <c r="A356" s="1" t="str">
        <f>'01 Product Master'!A356</f>
        <v>SN-0355</v>
      </c>
      <c r="B356" s="1">
        <f>'01 Product Master'!C356</f>
        <v>0</v>
      </c>
      <c r="C356" s="1">
        <f>'01 Product Master'!E356</f>
        <v>0</v>
      </c>
      <c r="D356" s="7">
        <f>'01 Product Master'!G356</f>
        <v>0</v>
      </c>
      <c r="E356" s="7">
        <f>'01 Product Master'!H356</f>
        <v>0</v>
      </c>
      <c r="F356" s="7">
        <f>'01 Product Master'!I356</f>
        <v>0</v>
      </c>
      <c r="G356" s="7" t="str">
        <f>'01 Product Master'!J356</f>
        <v/>
      </c>
      <c r="H356" s="7" t="str">
        <f>'01 Product Master'!K356</f>
        <v/>
      </c>
      <c r="I356" s="1"/>
    </row>
    <row r="357" spans="1:9" ht="16" x14ac:dyDescent="0.2">
      <c r="A357" s="1" t="str">
        <f>'01 Product Master'!A357</f>
        <v>SN-0356</v>
      </c>
      <c r="B357" s="1">
        <f>'01 Product Master'!C357</f>
        <v>0</v>
      </c>
      <c r="C357" s="1">
        <f>'01 Product Master'!E357</f>
        <v>0</v>
      </c>
      <c r="D357" s="7">
        <f>'01 Product Master'!G357</f>
        <v>0</v>
      </c>
      <c r="E357" s="7">
        <f>'01 Product Master'!H357</f>
        <v>0</v>
      </c>
      <c r="F357" s="7">
        <f>'01 Product Master'!I357</f>
        <v>0</v>
      </c>
      <c r="G357" s="7" t="str">
        <f>'01 Product Master'!J357</f>
        <v/>
      </c>
      <c r="H357" s="7" t="str">
        <f>'01 Product Master'!K357</f>
        <v/>
      </c>
      <c r="I357" s="1"/>
    </row>
    <row r="358" spans="1:9" ht="16" x14ac:dyDescent="0.2">
      <c r="A358" s="1" t="str">
        <f>'01 Product Master'!A358</f>
        <v>SN-0357</v>
      </c>
      <c r="B358" s="1">
        <f>'01 Product Master'!C358</f>
        <v>0</v>
      </c>
      <c r="C358" s="1">
        <f>'01 Product Master'!E358</f>
        <v>0</v>
      </c>
      <c r="D358" s="7">
        <f>'01 Product Master'!G358</f>
        <v>0</v>
      </c>
      <c r="E358" s="7">
        <f>'01 Product Master'!H358</f>
        <v>0</v>
      </c>
      <c r="F358" s="7">
        <f>'01 Product Master'!I358</f>
        <v>0</v>
      </c>
      <c r="G358" s="7" t="str">
        <f>'01 Product Master'!J358</f>
        <v/>
      </c>
      <c r="H358" s="7" t="str">
        <f>'01 Product Master'!K358</f>
        <v/>
      </c>
      <c r="I358" s="1"/>
    </row>
    <row r="359" spans="1:9" ht="16" x14ac:dyDescent="0.2">
      <c r="A359" s="1" t="str">
        <f>'01 Product Master'!A359</f>
        <v>SN-0358</v>
      </c>
      <c r="B359" s="1">
        <f>'01 Product Master'!C359</f>
        <v>0</v>
      </c>
      <c r="C359" s="1">
        <f>'01 Product Master'!E359</f>
        <v>0</v>
      </c>
      <c r="D359" s="7">
        <f>'01 Product Master'!G359</f>
        <v>0</v>
      </c>
      <c r="E359" s="7">
        <f>'01 Product Master'!H359</f>
        <v>0</v>
      </c>
      <c r="F359" s="7">
        <f>'01 Product Master'!I359</f>
        <v>0</v>
      </c>
      <c r="G359" s="7" t="str">
        <f>'01 Product Master'!J359</f>
        <v/>
      </c>
      <c r="H359" s="7" t="str">
        <f>'01 Product Master'!K359</f>
        <v/>
      </c>
      <c r="I359" s="1"/>
    </row>
    <row r="360" spans="1:9" ht="16" x14ac:dyDescent="0.2">
      <c r="A360" s="1" t="str">
        <f>'01 Product Master'!A360</f>
        <v>SN-0359</v>
      </c>
      <c r="B360" s="1">
        <f>'01 Product Master'!C360</f>
        <v>0</v>
      </c>
      <c r="C360" s="1">
        <f>'01 Product Master'!E360</f>
        <v>0</v>
      </c>
      <c r="D360" s="7">
        <f>'01 Product Master'!G360</f>
        <v>0</v>
      </c>
      <c r="E360" s="7">
        <f>'01 Product Master'!H360</f>
        <v>0</v>
      </c>
      <c r="F360" s="7">
        <f>'01 Product Master'!I360</f>
        <v>0</v>
      </c>
      <c r="G360" s="7" t="str">
        <f>'01 Product Master'!J360</f>
        <v/>
      </c>
      <c r="H360" s="7" t="str">
        <f>'01 Product Master'!K360</f>
        <v/>
      </c>
      <c r="I360" s="1"/>
    </row>
    <row r="361" spans="1:9" ht="16" x14ac:dyDescent="0.2">
      <c r="A361" s="1" t="str">
        <f>'01 Product Master'!A361</f>
        <v>SN-0360</v>
      </c>
      <c r="B361" s="1">
        <f>'01 Product Master'!C361</f>
        <v>0</v>
      </c>
      <c r="C361" s="1">
        <f>'01 Product Master'!E361</f>
        <v>0</v>
      </c>
      <c r="D361" s="7">
        <f>'01 Product Master'!G361</f>
        <v>0</v>
      </c>
      <c r="E361" s="7">
        <f>'01 Product Master'!H361</f>
        <v>0</v>
      </c>
      <c r="F361" s="7">
        <f>'01 Product Master'!I361</f>
        <v>0</v>
      </c>
      <c r="G361" s="7" t="str">
        <f>'01 Product Master'!J361</f>
        <v/>
      </c>
      <c r="H361" s="7" t="str">
        <f>'01 Product Master'!K361</f>
        <v/>
      </c>
      <c r="I361" s="1"/>
    </row>
    <row r="362" spans="1:9" ht="16" x14ac:dyDescent="0.2">
      <c r="A362" s="1" t="str">
        <f>'01 Product Master'!A362</f>
        <v>SN-0361</v>
      </c>
      <c r="B362" s="1">
        <f>'01 Product Master'!C362</f>
        <v>0</v>
      </c>
      <c r="C362" s="1">
        <f>'01 Product Master'!E362</f>
        <v>0</v>
      </c>
      <c r="D362" s="7">
        <f>'01 Product Master'!G362</f>
        <v>0</v>
      </c>
      <c r="E362" s="7">
        <f>'01 Product Master'!H362</f>
        <v>0</v>
      </c>
      <c r="F362" s="7">
        <f>'01 Product Master'!I362</f>
        <v>0</v>
      </c>
      <c r="G362" s="7" t="str">
        <f>'01 Product Master'!J362</f>
        <v/>
      </c>
      <c r="H362" s="7" t="str">
        <f>'01 Product Master'!K362</f>
        <v/>
      </c>
      <c r="I362" s="1"/>
    </row>
    <row r="363" spans="1:9" ht="16" x14ac:dyDescent="0.2">
      <c r="A363" s="1" t="str">
        <f>'01 Product Master'!A363</f>
        <v>SN-0362</v>
      </c>
      <c r="B363" s="1">
        <f>'01 Product Master'!C363</f>
        <v>0</v>
      </c>
      <c r="C363" s="1">
        <f>'01 Product Master'!E363</f>
        <v>0</v>
      </c>
      <c r="D363" s="7">
        <f>'01 Product Master'!G363</f>
        <v>0</v>
      </c>
      <c r="E363" s="7">
        <f>'01 Product Master'!H363</f>
        <v>0</v>
      </c>
      <c r="F363" s="7">
        <f>'01 Product Master'!I363</f>
        <v>0</v>
      </c>
      <c r="G363" s="7" t="str">
        <f>'01 Product Master'!J363</f>
        <v/>
      </c>
      <c r="H363" s="7" t="str">
        <f>'01 Product Master'!K363</f>
        <v/>
      </c>
      <c r="I363" s="1"/>
    </row>
    <row r="364" spans="1:9" ht="16" x14ac:dyDescent="0.2">
      <c r="A364" s="1" t="str">
        <f>'01 Product Master'!A364</f>
        <v>SN-0363</v>
      </c>
      <c r="B364" s="1">
        <f>'01 Product Master'!C364</f>
        <v>0</v>
      </c>
      <c r="C364" s="1">
        <f>'01 Product Master'!E364</f>
        <v>0</v>
      </c>
      <c r="D364" s="7">
        <f>'01 Product Master'!G364</f>
        <v>0</v>
      </c>
      <c r="E364" s="7">
        <f>'01 Product Master'!H364</f>
        <v>0</v>
      </c>
      <c r="F364" s="7">
        <f>'01 Product Master'!I364</f>
        <v>0</v>
      </c>
      <c r="G364" s="7" t="str">
        <f>'01 Product Master'!J364</f>
        <v/>
      </c>
      <c r="H364" s="7" t="str">
        <f>'01 Product Master'!K364</f>
        <v/>
      </c>
      <c r="I364" s="1"/>
    </row>
    <row r="365" spans="1:9" ht="16" x14ac:dyDescent="0.2">
      <c r="A365" s="1" t="str">
        <f>'01 Product Master'!A365</f>
        <v>SN-0364</v>
      </c>
      <c r="B365" s="1">
        <f>'01 Product Master'!C365</f>
        <v>0</v>
      </c>
      <c r="C365" s="1">
        <f>'01 Product Master'!E365</f>
        <v>0</v>
      </c>
      <c r="D365" s="7">
        <f>'01 Product Master'!G365</f>
        <v>0</v>
      </c>
      <c r="E365" s="7">
        <f>'01 Product Master'!H365</f>
        <v>0</v>
      </c>
      <c r="F365" s="7">
        <f>'01 Product Master'!I365</f>
        <v>0</v>
      </c>
      <c r="G365" s="7" t="str">
        <f>'01 Product Master'!J365</f>
        <v/>
      </c>
      <c r="H365" s="7" t="str">
        <f>'01 Product Master'!K365</f>
        <v/>
      </c>
      <c r="I365" s="1"/>
    </row>
    <row r="366" spans="1:9" ht="16" x14ac:dyDescent="0.2">
      <c r="A366" s="1" t="str">
        <f>'01 Product Master'!A366</f>
        <v>SN-0365</v>
      </c>
      <c r="B366" s="1">
        <f>'01 Product Master'!C366</f>
        <v>0</v>
      </c>
      <c r="C366" s="1">
        <f>'01 Product Master'!E366</f>
        <v>0</v>
      </c>
      <c r="D366" s="7">
        <f>'01 Product Master'!G366</f>
        <v>0</v>
      </c>
      <c r="E366" s="7">
        <f>'01 Product Master'!H366</f>
        <v>0</v>
      </c>
      <c r="F366" s="7">
        <f>'01 Product Master'!I366</f>
        <v>0</v>
      </c>
      <c r="G366" s="7" t="str">
        <f>'01 Product Master'!J366</f>
        <v/>
      </c>
      <c r="H366" s="7" t="str">
        <f>'01 Product Master'!K366</f>
        <v/>
      </c>
      <c r="I366" s="1"/>
    </row>
    <row r="367" spans="1:9" ht="16" x14ac:dyDescent="0.2">
      <c r="A367" s="1" t="str">
        <f>'01 Product Master'!A367</f>
        <v>SN-0366</v>
      </c>
      <c r="B367" s="1">
        <f>'01 Product Master'!C367</f>
        <v>0</v>
      </c>
      <c r="C367" s="1">
        <f>'01 Product Master'!E367</f>
        <v>0</v>
      </c>
      <c r="D367" s="7">
        <f>'01 Product Master'!G367</f>
        <v>0</v>
      </c>
      <c r="E367" s="7">
        <f>'01 Product Master'!H367</f>
        <v>0</v>
      </c>
      <c r="F367" s="7">
        <f>'01 Product Master'!I367</f>
        <v>0</v>
      </c>
      <c r="G367" s="7" t="str">
        <f>'01 Product Master'!J367</f>
        <v/>
      </c>
      <c r="H367" s="7" t="str">
        <f>'01 Product Master'!K367</f>
        <v/>
      </c>
      <c r="I367" s="1"/>
    </row>
    <row r="368" spans="1:9" ht="16" x14ac:dyDescent="0.2">
      <c r="A368" s="1" t="str">
        <f>'01 Product Master'!A368</f>
        <v>SN-0367</v>
      </c>
      <c r="B368" s="1">
        <f>'01 Product Master'!C368</f>
        <v>0</v>
      </c>
      <c r="C368" s="1">
        <f>'01 Product Master'!E368</f>
        <v>0</v>
      </c>
      <c r="D368" s="7">
        <f>'01 Product Master'!G368</f>
        <v>0</v>
      </c>
      <c r="E368" s="7">
        <f>'01 Product Master'!H368</f>
        <v>0</v>
      </c>
      <c r="F368" s="7">
        <f>'01 Product Master'!I368</f>
        <v>0</v>
      </c>
      <c r="G368" s="7" t="str">
        <f>'01 Product Master'!J368</f>
        <v/>
      </c>
      <c r="H368" s="7" t="str">
        <f>'01 Product Master'!K368</f>
        <v/>
      </c>
      <c r="I368" s="1"/>
    </row>
    <row r="369" spans="1:9" ht="16" x14ac:dyDescent="0.2">
      <c r="A369" s="1" t="str">
        <f>'01 Product Master'!A369</f>
        <v>SN-0368</v>
      </c>
      <c r="B369" s="1">
        <f>'01 Product Master'!C369</f>
        <v>0</v>
      </c>
      <c r="C369" s="1">
        <f>'01 Product Master'!E369</f>
        <v>0</v>
      </c>
      <c r="D369" s="7">
        <f>'01 Product Master'!G369</f>
        <v>0</v>
      </c>
      <c r="E369" s="7">
        <f>'01 Product Master'!H369</f>
        <v>0</v>
      </c>
      <c r="F369" s="7">
        <f>'01 Product Master'!I369</f>
        <v>0</v>
      </c>
      <c r="G369" s="7" t="str">
        <f>'01 Product Master'!J369</f>
        <v/>
      </c>
      <c r="H369" s="7" t="str">
        <f>'01 Product Master'!K369</f>
        <v/>
      </c>
      <c r="I369" s="1"/>
    </row>
    <row r="370" spans="1:9" ht="16" x14ac:dyDescent="0.2">
      <c r="A370" s="1" t="str">
        <f>'01 Product Master'!A370</f>
        <v>SN-0369</v>
      </c>
      <c r="B370" s="1">
        <f>'01 Product Master'!C370</f>
        <v>0</v>
      </c>
      <c r="C370" s="1">
        <f>'01 Product Master'!E370</f>
        <v>0</v>
      </c>
      <c r="D370" s="7">
        <f>'01 Product Master'!G370</f>
        <v>0</v>
      </c>
      <c r="E370" s="7">
        <f>'01 Product Master'!H370</f>
        <v>0</v>
      </c>
      <c r="F370" s="7">
        <f>'01 Product Master'!I370</f>
        <v>0</v>
      </c>
      <c r="G370" s="7" t="str">
        <f>'01 Product Master'!J370</f>
        <v/>
      </c>
      <c r="H370" s="7" t="str">
        <f>'01 Product Master'!K370</f>
        <v/>
      </c>
      <c r="I370" s="1"/>
    </row>
    <row r="371" spans="1:9" ht="16" x14ac:dyDescent="0.2">
      <c r="A371" s="1" t="str">
        <f>'01 Product Master'!A371</f>
        <v>SN-0370</v>
      </c>
      <c r="B371" s="1">
        <f>'01 Product Master'!C371</f>
        <v>0</v>
      </c>
      <c r="C371" s="1">
        <f>'01 Product Master'!E371</f>
        <v>0</v>
      </c>
      <c r="D371" s="7">
        <f>'01 Product Master'!G371</f>
        <v>0</v>
      </c>
      <c r="E371" s="7">
        <f>'01 Product Master'!H371</f>
        <v>0</v>
      </c>
      <c r="F371" s="7">
        <f>'01 Product Master'!I371</f>
        <v>0</v>
      </c>
      <c r="G371" s="7" t="str">
        <f>'01 Product Master'!J371</f>
        <v/>
      </c>
      <c r="H371" s="7" t="str">
        <f>'01 Product Master'!K371</f>
        <v/>
      </c>
      <c r="I371" s="1"/>
    </row>
    <row r="372" spans="1:9" ht="16" x14ac:dyDescent="0.2">
      <c r="A372" s="1" t="str">
        <f>'01 Product Master'!A372</f>
        <v>SN-0371</v>
      </c>
      <c r="B372" s="1">
        <f>'01 Product Master'!C372</f>
        <v>0</v>
      </c>
      <c r="C372" s="1">
        <f>'01 Product Master'!E372</f>
        <v>0</v>
      </c>
      <c r="D372" s="7">
        <f>'01 Product Master'!G372</f>
        <v>0</v>
      </c>
      <c r="E372" s="7">
        <f>'01 Product Master'!H372</f>
        <v>0</v>
      </c>
      <c r="F372" s="7">
        <f>'01 Product Master'!I372</f>
        <v>0</v>
      </c>
      <c r="G372" s="7" t="str">
        <f>'01 Product Master'!J372</f>
        <v/>
      </c>
      <c r="H372" s="7" t="str">
        <f>'01 Product Master'!K372</f>
        <v/>
      </c>
      <c r="I372" s="1"/>
    </row>
    <row r="373" spans="1:9" ht="16" x14ac:dyDescent="0.2">
      <c r="A373" s="1" t="str">
        <f>'01 Product Master'!A373</f>
        <v>SN-0372</v>
      </c>
      <c r="B373" s="1">
        <f>'01 Product Master'!C373</f>
        <v>0</v>
      </c>
      <c r="C373" s="1">
        <f>'01 Product Master'!E373</f>
        <v>0</v>
      </c>
      <c r="D373" s="7">
        <f>'01 Product Master'!G373</f>
        <v>0</v>
      </c>
      <c r="E373" s="7">
        <f>'01 Product Master'!H373</f>
        <v>0</v>
      </c>
      <c r="F373" s="7">
        <f>'01 Product Master'!I373</f>
        <v>0</v>
      </c>
      <c r="G373" s="7" t="str">
        <f>'01 Product Master'!J373</f>
        <v/>
      </c>
      <c r="H373" s="7" t="str">
        <f>'01 Product Master'!K373</f>
        <v/>
      </c>
      <c r="I373" s="1"/>
    </row>
    <row r="374" spans="1:9" ht="16" x14ac:dyDescent="0.2">
      <c r="A374" s="1" t="str">
        <f>'01 Product Master'!A374</f>
        <v>SN-0373</v>
      </c>
      <c r="B374" s="1">
        <f>'01 Product Master'!C374</f>
        <v>0</v>
      </c>
      <c r="C374" s="1">
        <f>'01 Product Master'!E374</f>
        <v>0</v>
      </c>
      <c r="D374" s="7">
        <f>'01 Product Master'!G374</f>
        <v>0</v>
      </c>
      <c r="E374" s="7">
        <f>'01 Product Master'!H374</f>
        <v>0</v>
      </c>
      <c r="F374" s="7">
        <f>'01 Product Master'!I374</f>
        <v>0</v>
      </c>
      <c r="G374" s="7" t="str">
        <f>'01 Product Master'!J374</f>
        <v/>
      </c>
      <c r="H374" s="7" t="str">
        <f>'01 Product Master'!K374</f>
        <v/>
      </c>
      <c r="I374" s="1"/>
    </row>
    <row r="375" spans="1:9" ht="16" x14ac:dyDescent="0.2">
      <c r="A375" s="1" t="str">
        <f>'01 Product Master'!A375</f>
        <v>SN-0374</v>
      </c>
      <c r="B375" s="1">
        <f>'01 Product Master'!C375</f>
        <v>0</v>
      </c>
      <c r="C375" s="1">
        <f>'01 Product Master'!E375</f>
        <v>0</v>
      </c>
      <c r="D375" s="7">
        <f>'01 Product Master'!G375</f>
        <v>0</v>
      </c>
      <c r="E375" s="7">
        <f>'01 Product Master'!H375</f>
        <v>0</v>
      </c>
      <c r="F375" s="7">
        <f>'01 Product Master'!I375</f>
        <v>0</v>
      </c>
      <c r="G375" s="7" t="str">
        <f>'01 Product Master'!J375</f>
        <v/>
      </c>
      <c r="H375" s="7" t="str">
        <f>'01 Product Master'!K375</f>
        <v/>
      </c>
      <c r="I375" s="1"/>
    </row>
    <row r="376" spans="1:9" ht="16" x14ac:dyDescent="0.2">
      <c r="A376" s="1" t="str">
        <f>'01 Product Master'!A376</f>
        <v>SN-0375</v>
      </c>
      <c r="B376" s="1">
        <f>'01 Product Master'!C376</f>
        <v>0</v>
      </c>
      <c r="C376" s="1">
        <f>'01 Product Master'!E376</f>
        <v>0</v>
      </c>
      <c r="D376" s="7">
        <f>'01 Product Master'!G376</f>
        <v>0</v>
      </c>
      <c r="E376" s="7">
        <f>'01 Product Master'!H376</f>
        <v>0</v>
      </c>
      <c r="F376" s="7">
        <f>'01 Product Master'!I376</f>
        <v>0</v>
      </c>
      <c r="G376" s="7" t="str">
        <f>'01 Product Master'!J376</f>
        <v/>
      </c>
      <c r="H376" s="7" t="str">
        <f>'01 Product Master'!K376</f>
        <v/>
      </c>
      <c r="I376" s="1"/>
    </row>
    <row r="377" spans="1:9" ht="16" x14ac:dyDescent="0.2">
      <c r="A377" s="1" t="str">
        <f>'01 Product Master'!A377</f>
        <v>SN-0376</v>
      </c>
      <c r="B377" s="1">
        <f>'01 Product Master'!C377</f>
        <v>0</v>
      </c>
      <c r="C377" s="1">
        <f>'01 Product Master'!E377</f>
        <v>0</v>
      </c>
      <c r="D377" s="7">
        <f>'01 Product Master'!G377</f>
        <v>0</v>
      </c>
      <c r="E377" s="7">
        <f>'01 Product Master'!H377</f>
        <v>0</v>
      </c>
      <c r="F377" s="7">
        <f>'01 Product Master'!I377</f>
        <v>0</v>
      </c>
      <c r="G377" s="7" t="str">
        <f>'01 Product Master'!J377</f>
        <v/>
      </c>
      <c r="H377" s="7" t="str">
        <f>'01 Product Master'!K377</f>
        <v/>
      </c>
      <c r="I377" s="1"/>
    </row>
    <row r="378" spans="1:9" ht="16" x14ac:dyDescent="0.2">
      <c r="A378" s="1" t="str">
        <f>'01 Product Master'!A378</f>
        <v>SN-0377</v>
      </c>
      <c r="B378" s="1">
        <f>'01 Product Master'!C378</f>
        <v>0</v>
      </c>
      <c r="C378" s="1">
        <f>'01 Product Master'!E378</f>
        <v>0</v>
      </c>
      <c r="D378" s="7">
        <f>'01 Product Master'!G378</f>
        <v>0</v>
      </c>
      <c r="E378" s="7">
        <f>'01 Product Master'!H378</f>
        <v>0</v>
      </c>
      <c r="F378" s="7">
        <f>'01 Product Master'!I378</f>
        <v>0</v>
      </c>
      <c r="G378" s="7" t="str">
        <f>'01 Product Master'!J378</f>
        <v/>
      </c>
      <c r="H378" s="7" t="str">
        <f>'01 Product Master'!K378</f>
        <v/>
      </c>
      <c r="I378" s="1"/>
    </row>
    <row r="379" spans="1:9" ht="16" x14ac:dyDescent="0.2">
      <c r="A379" s="1" t="str">
        <f>'01 Product Master'!A379</f>
        <v>SN-0378</v>
      </c>
      <c r="B379" s="1">
        <f>'01 Product Master'!C379</f>
        <v>0</v>
      </c>
      <c r="C379" s="1">
        <f>'01 Product Master'!E379</f>
        <v>0</v>
      </c>
      <c r="D379" s="7">
        <f>'01 Product Master'!G379</f>
        <v>0</v>
      </c>
      <c r="E379" s="7">
        <f>'01 Product Master'!H379</f>
        <v>0</v>
      </c>
      <c r="F379" s="7">
        <f>'01 Product Master'!I379</f>
        <v>0</v>
      </c>
      <c r="G379" s="7" t="str">
        <f>'01 Product Master'!J379</f>
        <v/>
      </c>
      <c r="H379" s="7" t="str">
        <f>'01 Product Master'!K379</f>
        <v/>
      </c>
      <c r="I379" s="1"/>
    </row>
    <row r="380" spans="1:9" ht="16" x14ac:dyDescent="0.2">
      <c r="A380" s="1" t="str">
        <f>'01 Product Master'!A380</f>
        <v>SN-0379</v>
      </c>
      <c r="B380" s="1">
        <f>'01 Product Master'!C380</f>
        <v>0</v>
      </c>
      <c r="C380" s="1">
        <f>'01 Product Master'!E380</f>
        <v>0</v>
      </c>
      <c r="D380" s="7">
        <f>'01 Product Master'!G380</f>
        <v>0</v>
      </c>
      <c r="E380" s="7">
        <f>'01 Product Master'!H380</f>
        <v>0</v>
      </c>
      <c r="F380" s="7">
        <f>'01 Product Master'!I380</f>
        <v>0</v>
      </c>
      <c r="G380" s="7" t="str">
        <f>'01 Product Master'!J380</f>
        <v/>
      </c>
      <c r="H380" s="7" t="str">
        <f>'01 Product Master'!K380</f>
        <v/>
      </c>
      <c r="I380" s="1"/>
    </row>
    <row r="381" spans="1:9" ht="16" x14ac:dyDescent="0.2">
      <c r="A381" s="1" t="str">
        <f>'01 Product Master'!A381</f>
        <v>SN-0380</v>
      </c>
      <c r="B381" s="1">
        <f>'01 Product Master'!C381</f>
        <v>0</v>
      </c>
      <c r="C381" s="1">
        <f>'01 Product Master'!E381</f>
        <v>0</v>
      </c>
      <c r="D381" s="7">
        <f>'01 Product Master'!G381</f>
        <v>0</v>
      </c>
      <c r="E381" s="7">
        <f>'01 Product Master'!H381</f>
        <v>0</v>
      </c>
      <c r="F381" s="7">
        <f>'01 Product Master'!I381</f>
        <v>0</v>
      </c>
      <c r="G381" s="7" t="str">
        <f>'01 Product Master'!J381</f>
        <v/>
      </c>
      <c r="H381" s="7" t="str">
        <f>'01 Product Master'!K381</f>
        <v/>
      </c>
      <c r="I381" s="1"/>
    </row>
    <row r="382" spans="1:9" ht="16" x14ac:dyDescent="0.2">
      <c r="A382" s="1" t="str">
        <f>'01 Product Master'!A382</f>
        <v>SN-0381</v>
      </c>
      <c r="B382" s="1">
        <f>'01 Product Master'!C382</f>
        <v>0</v>
      </c>
      <c r="C382" s="1">
        <f>'01 Product Master'!E382</f>
        <v>0</v>
      </c>
      <c r="D382" s="7">
        <f>'01 Product Master'!G382</f>
        <v>0</v>
      </c>
      <c r="E382" s="7">
        <f>'01 Product Master'!H382</f>
        <v>0</v>
      </c>
      <c r="F382" s="7">
        <f>'01 Product Master'!I382</f>
        <v>0</v>
      </c>
      <c r="G382" s="7" t="str">
        <f>'01 Product Master'!J382</f>
        <v/>
      </c>
      <c r="H382" s="7" t="str">
        <f>'01 Product Master'!K382</f>
        <v/>
      </c>
      <c r="I382" s="1"/>
    </row>
    <row r="383" spans="1:9" ht="16" x14ac:dyDescent="0.2">
      <c r="A383" s="1" t="str">
        <f>'01 Product Master'!A383</f>
        <v>SN-0382</v>
      </c>
      <c r="B383" s="1">
        <f>'01 Product Master'!C383</f>
        <v>0</v>
      </c>
      <c r="C383" s="1">
        <f>'01 Product Master'!E383</f>
        <v>0</v>
      </c>
      <c r="D383" s="7">
        <f>'01 Product Master'!G383</f>
        <v>0</v>
      </c>
      <c r="E383" s="7">
        <f>'01 Product Master'!H383</f>
        <v>0</v>
      </c>
      <c r="F383" s="7">
        <f>'01 Product Master'!I383</f>
        <v>0</v>
      </c>
      <c r="G383" s="7" t="str">
        <f>'01 Product Master'!J383</f>
        <v/>
      </c>
      <c r="H383" s="7" t="str">
        <f>'01 Product Master'!K383</f>
        <v/>
      </c>
      <c r="I383" s="1"/>
    </row>
    <row r="384" spans="1:9" ht="16" x14ac:dyDescent="0.2">
      <c r="A384" s="1" t="str">
        <f>'01 Product Master'!A384</f>
        <v>SN-0383</v>
      </c>
      <c r="B384" s="1">
        <f>'01 Product Master'!C384</f>
        <v>0</v>
      </c>
      <c r="C384" s="1">
        <f>'01 Product Master'!E384</f>
        <v>0</v>
      </c>
      <c r="D384" s="7">
        <f>'01 Product Master'!G384</f>
        <v>0</v>
      </c>
      <c r="E384" s="7">
        <f>'01 Product Master'!H384</f>
        <v>0</v>
      </c>
      <c r="F384" s="7">
        <f>'01 Product Master'!I384</f>
        <v>0</v>
      </c>
      <c r="G384" s="7" t="str">
        <f>'01 Product Master'!J384</f>
        <v/>
      </c>
      <c r="H384" s="7" t="str">
        <f>'01 Product Master'!K384</f>
        <v/>
      </c>
      <c r="I384" s="1"/>
    </row>
    <row r="385" spans="1:9" ht="16" x14ac:dyDescent="0.2">
      <c r="A385" s="1" t="str">
        <f>'01 Product Master'!A385</f>
        <v>SN-0384</v>
      </c>
      <c r="B385" s="1">
        <f>'01 Product Master'!C385</f>
        <v>0</v>
      </c>
      <c r="C385" s="1">
        <f>'01 Product Master'!E385</f>
        <v>0</v>
      </c>
      <c r="D385" s="7">
        <f>'01 Product Master'!G385</f>
        <v>0</v>
      </c>
      <c r="E385" s="7">
        <f>'01 Product Master'!H385</f>
        <v>0</v>
      </c>
      <c r="F385" s="7">
        <f>'01 Product Master'!I385</f>
        <v>0</v>
      </c>
      <c r="G385" s="7" t="str">
        <f>'01 Product Master'!J385</f>
        <v/>
      </c>
      <c r="H385" s="7" t="str">
        <f>'01 Product Master'!K385</f>
        <v/>
      </c>
      <c r="I385" s="1"/>
    </row>
    <row r="386" spans="1:9" ht="16" x14ac:dyDescent="0.2">
      <c r="A386" s="1" t="str">
        <f>'01 Product Master'!A386</f>
        <v>SN-0385</v>
      </c>
      <c r="B386" s="1">
        <f>'01 Product Master'!C386</f>
        <v>0</v>
      </c>
      <c r="C386" s="1">
        <f>'01 Product Master'!E386</f>
        <v>0</v>
      </c>
      <c r="D386" s="7">
        <f>'01 Product Master'!G386</f>
        <v>0</v>
      </c>
      <c r="E386" s="7">
        <f>'01 Product Master'!H386</f>
        <v>0</v>
      </c>
      <c r="F386" s="7">
        <f>'01 Product Master'!I386</f>
        <v>0</v>
      </c>
      <c r="G386" s="7" t="str">
        <f>'01 Product Master'!J386</f>
        <v/>
      </c>
      <c r="H386" s="7" t="str">
        <f>'01 Product Master'!K386</f>
        <v/>
      </c>
      <c r="I386" s="1"/>
    </row>
    <row r="387" spans="1:9" ht="16" x14ac:dyDescent="0.2">
      <c r="A387" s="1" t="str">
        <f>'01 Product Master'!A387</f>
        <v>SN-0386</v>
      </c>
      <c r="B387" s="1">
        <f>'01 Product Master'!C387</f>
        <v>0</v>
      </c>
      <c r="C387" s="1">
        <f>'01 Product Master'!E387</f>
        <v>0</v>
      </c>
      <c r="D387" s="7">
        <f>'01 Product Master'!G387</f>
        <v>0</v>
      </c>
      <c r="E387" s="7">
        <f>'01 Product Master'!H387</f>
        <v>0</v>
      </c>
      <c r="F387" s="7">
        <f>'01 Product Master'!I387</f>
        <v>0</v>
      </c>
      <c r="G387" s="7" t="str">
        <f>'01 Product Master'!J387</f>
        <v/>
      </c>
      <c r="H387" s="7" t="str">
        <f>'01 Product Master'!K387</f>
        <v/>
      </c>
      <c r="I387" s="1"/>
    </row>
    <row r="388" spans="1:9" ht="16" x14ac:dyDescent="0.2">
      <c r="A388" s="1" t="str">
        <f>'01 Product Master'!A388</f>
        <v>SN-0387</v>
      </c>
      <c r="B388" s="1">
        <f>'01 Product Master'!C388</f>
        <v>0</v>
      </c>
      <c r="C388" s="1">
        <f>'01 Product Master'!E388</f>
        <v>0</v>
      </c>
      <c r="D388" s="7">
        <f>'01 Product Master'!G388</f>
        <v>0</v>
      </c>
      <c r="E388" s="7">
        <f>'01 Product Master'!H388</f>
        <v>0</v>
      </c>
      <c r="F388" s="7">
        <f>'01 Product Master'!I388</f>
        <v>0</v>
      </c>
      <c r="G388" s="7" t="str">
        <f>'01 Product Master'!J388</f>
        <v/>
      </c>
      <c r="H388" s="7" t="str">
        <f>'01 Product Master'!K388</f>
        <v/>
      </c>
      <c r="I388" s="1"/>
    </row>
    <row r="389" spans="1:9" ht="16" x14ac:dyDescent="0.2">
      <c r="A389" s="1" t="str">
        <f>'01 Product Master'!A389</f>
        <v>SN-0388</v>
      </c>
      <c r="B389" s="1">
        <f>'01 Product Master'!C389</f>
        <v>0</v>
      </c>
      <c r="C389" s="1">
        <f>'01 Product Master'!E389</f>
        <v>0</v>
      </c>
      <c r="D389" s="7">
        <f>'01 Product Master'!G389</f>
        <v>0</v>
      </c>
      <c r="E389" s="7">
        <f>'01 Product Master'!H389</f>
        <v>0</v>
      </c>
      <c r="F389" s="7">
        <f>'01 Product Master'!I389</f>
        <v>0</v>
      </c>
      <c r="G389" s="7" t="str">
        <f>'01 Product Master'!J389</f>
        <v/>
      </c>
      <c r="H389" s="7" t="str">
        <f>'01 Product Master'!K389</f>
        <v/>
      </c>
      <c r="I389" s="1"/>
    </row>
    <row r="390" spans="1:9" ht="16" x14ac:dyDescent="0.2">
      <c r="A390" s="1" t="str">
        <f>'01 Product Master'!A390</f>
        <v>SN-0389</v>
      </c>
      <c r="B390" s="1">
        <f>'01 Product Master'!C390</f>
        <v>0</v>
      </c>
      <c r="C390" s="1">
        <f>'01 Product Master'!E390</f>
        <v>0</v>
      </c>
      <c r="D390" s="7">
        <f>'01 Product Master'!G390</f>
        <v>0</v>
      </c>
      <c r="E390" s="7">
        <f>'01 Product Master'!H390</f>
        <v>0</v>
      </c>
      <c r="F390" s="7">
        <f>'01 Product Master'!I390</f>
        <v>0</v>
      </c>
      <c r="G390" s="7" t="str">
        <f>'01 Product Master'!J390</f>
        <v/>
      </c>
      <c r="H390" s="7" t="str">
        <f>'01 Product Master'!K390</f>
        <v/>
      </c>
      <c r="I390" s="1"/>
    </row>
    <row r="391" spans="1:9" ht="16" x14ac:dyDescent="0.2">
      <c r="A391" s="1" t="str">
        <f>'01 Product Master'!A391</f>
        <v>SN-0390</v>
      </c>
      <c r="B391" s="1">
        <f>'01 Product Master'!C391</f>
        <v>0</v>
      </c>
      <c r="C391" s="1">
        <f>'01 Product Master'!E391</f>
        <v>0</v>
      </c>
      <c r="D391" s="7">
        <f>'01 Product Master'!G391</f>
        <v>0</v>
      </c>
      <c r="E391" s="7">
        <f>'01 Product Master'!H391</f>
        <v>0</v>
      </c>
      <c r="F391" s="7">
        <f>'01 Product Master'!I391</f>
        <v>0</v>
      </c>
      <c r="G391" s="7" t="str">
        <f>'01 Product Master'!J391</f>
        <v/>
      </c>
      <c r="H391" s="7" t="str">
        <f>'01 Product Master'!K391</f>
        <v/>
      </c>
      <c r="I391" s="1"/>
    </row>
    <row r="392" spans="1:9" ht="16" x14ac:dyDescent="0.2">
      <c r="A392" s="1" t="str">
        <f>'01 Product Master'!A392</f>
        <v>SN-0391</v>
      </c>
      <c r="B392" s="1">
        <f>'01 Product Master'!C392</f>
        <v>0</v>
      </c>
      <c r="C392" s="1">
        <f>'01 Product Master'!E392</f>
        <v>0</v>
      </c>
      <c r="D392" s="7">
        <f>'01 Product Master'!G392</f>
        <v>0</v>
      </c>
      <c r="E392" s="7">
        <f>'01 Product Master'!H392</f>
        <v>0</v>
      </c>
      <c r="F392" s="7">
        <f>'01 Product Master'!I392</f>
        <v>0</v>
      </c>
      <c r="G392" s="7" t="str">
        <f>'01 Product Master'!J392</f>
        <v/>
      </c>
      <c r="H392" s="7" t="str">
        <f>'01 Product Master'!K392</f>
        <v/>
      </c>
      <c r="I392" s="1"/>
    </row>
    <row r="393" spans="1:9" ht="16" x14ac:dyDescent="0.2">
      <c r="A393" s="1" t="str">
        <f>'01 Product Master'!A393</f>
        <v>SN-0392</v>
      </c>
      <c r="B393" s="1">
        <f>'01 Product Master'!C393</f>
        <v>0</v>
      </c>
      <c r="C393" s="1">
        <f>'01 Product Master'!E393</f>
        <v>0</v>
      </c>
      <c r="D393" s="7">
        <f>'01 Product Master'!G393</f>
        <v>0</v>
      </c>
      <c r="E393" s="7">
        <f>'01 Product Master'!H393</f>
        <v>0</v>
      </c>
      <c r="F393" s="7">
        <f>'01 Product Master'!I393</f>
        <v>0</v>
      </c>
      <c r="G393" s="7" t="str">
        <f>'01 Product Master'!J393</f>
        <v/>
      </c>
      <c r="H393" s="7" t="str">
        <f>'01 Product Master'!K393</f>
        <v/>
      </c>
      <c r="I393" s="1"/>
    </row>
    <row r="394" spans="1:9" ht="16" x14ac:dyDescent="0.2">
      <c r="A394" s="1" t="str">
        <f>'01 Product Master'!A394</f>
        <v>SN-0393</v>
      </c>
      <c r="B394" s="1">
        <f>'01 Product Master'!C394</f>
        <v>0</v>
      </c>
      <c r="C394" s="1">
        <f>'01 Product Master'!E394</f>
        <v>0</v>
      </c>
      <c r="D394" s="7">
        <f>'01 Product Master'!G394</f>
        <v>0</v>
      </c>
      <c r="E394" s="7">
        <f>'01 Product Master'!H394</f>
        <v>0</v>
      </c>
      <c r="F394" s="7">
        <f>'01 Product Master'!I394</f>
        <v>0</v>
      </c>
      <c r="G394" s="7" t="str">
        <f>'01 Product Master'!J394</f>
        <v/>
      </c>
      <c r="H394" s="7" t="str">
        <f>'01 Product Master'!K394</f>
        <v/>
      </c>
      <c r="I394" s="1"/>
    </row>
    <row r="395" spans="1:9" ht="16" x14ac:dyDescent="0.2">
      <c r="A395" s="1" t="str">
        <f>'01 Product Master'!A395</f>
        <v>SN-0394</v>
      </c>
      <c r="B395" s="1">
        <f>'01 Product Master'!C395</f>
        <v>0</v>
      </c>
      <c r="C395" s="1">
        <f>'01 Product Master'!E395</f>
        <v>0</v>
      </c>
      <c r="D395" s="7">
        <f>'01 Product Master'!G395</f>
        <v>0</v>
      </c>
      <c r="E395" s="7">
        <f>'01 Product Master'!H395</f>
        <v>0</v>
      </c>
      <c r="F395" s="7">
        <f>'01 Product Master'!I395</f>
        <v>0</v>
      </c>
      <c r="G395" s="7" t="str">
        <f>'01 Product Master'!J395</f>
        <v/>
      </c>
      <c r="H395" s="7" t="str">
        <f>'01 Product Master'!K395</f>
        <v/>
      </c>
      <c r="I395" s="1"/>
    </row>
    <row r="396" spans="1:9" ht="16" x14ac:dyDescent="0.2">
      <c r="A396" s="1" t="str">
        <f>'01 Product Master'!A396</f>
        <v>SN-0395</v>
      </c>
      <c r="B396" s="1">
        <f>'01 Product Master'!C396</f>
        <v>0</v>
      </c>
      <c r="C396" s="1">
        <f>'01 Product Master'!E396</f>
        <v>0</v>
      </c>
      <c r="D396" s="7">
        <f>'01 Product Master'!G396</f>
        <v>0</v>
      </c>
      <c r="E396" s="7">
        <f>'01 Product Master'!H396</f>
        <v>0</v>
      </c>
      <c r="F396" s="7">
        <f>'01 Product Master'!I396</f>
        <v>0</v>
      </c>
      <c r="G396" s="7" t="str">
        <f>'01 Product Master'!J396</f>
        <v/>
      </c>
      <c r="H396" s="7" t="str">
        <f>'01 Product Master'!K396</f>
        <v/>
      </c>
      <c r="I396" s="1"/>
    </row>
    <row r="397" spans="1:9" ht="16" x14ac:dyDescent="0.2">
      <c r="A397" s="1" t="str">
        <f>'01 Product Master'!A397</f>
        <v>SN-0396</v>
      </c>
      <c r="B397" s="1">
        <f>'01 Product Master'!C397</f>
        <v>0</v>
      </c>
      <c r="C397" s="1">
        <f>'01 Product Master'!E397</f>
        <v>0</v>
      </c>
      <c r="D397" s="7">
        <f>'01 Product Master'!G397</f>
        <v>0</v>
      </c>
      <c r="E397" s="7">
        <f>'01 Product Master'!H397</f>
        <v>0</v>
      </c>
      <c r="F397" s="7">
        <f>'01 Product Master'!I397</f>
        <v>0</v>
      </c>
      <c r="G397" s="7" t="str">
        <f>'01 Product Master'!J397</f>
        <v/>
      </c>
      <c r="H397" s="7" t="str">
        <f>'01 Product Master'!K397</f>
        <v/>
      </c>
      <c r="I397" s="1"/>
    </row>
    <row r="398" spans="1:9" ht="16" x14ac:dyDescent="0.2">
      <c r="A398" s="1" t="str">
        <f>'01 Product Master'!A398</f>
        <v>SN-0397</v>
      </c>
      <c r="B398" s="1">
        <f>'01 Product Master'!C398</f>
        <v>0</v>
      </c>
      <c r="C398" s="1">
        <f>'01 Product Master'!E398</f>
        <v>0</v>
      </c>
      <c r="D398" s="7">
        <f>'01 Product Master'!G398</f>
        <v>0</v>
      </c>
      <c r="E398" s="7">
        <f>'01 Product Master'!H398</f>
        <v>0</v>
      </c>
      <c r="F398" s="7">
        <f>'01 Product Master'!I398</f>
        <v>0</v>
      </c>
      <c r="G398" s="7" t="str">
        <f>'01 Product Master'!J398</f>
        <v/>
      </c>
      <c r="H398" s="7" t="str">
        <f>'01 Product Master'!K398</f>
        <v/>
      </c>
      <c r="I398" s="1"/>
    </row>
    <row r="399" spans="1:9" ht="16" x14ac:dyDescent="0.2">
      <c r="A399" s="1" t="str">
        <f>'01 Product Master'!A399</f>
        <v>SN-0398</v>
      </c>
      <c r="B399" s="1">
        <f>'01 Product Master'!C399</f>
        <v>0</v>
      </c>
      <c r="C399" s="1">
        <f>'01 Product Master'!E399</f>
        <v>0</v>
      </c>
      <c r="D399" s="7">
        <f>'01 Product Master'!G399</f>
        <v>0</v>
      </c>
      <c r="E399" s="7">
        <f>'01 Product Master'!H399</f>
        <v>0</v>
      </c>
      <c r="F399" s="7">
        <f>'01 Product Master'!I399</f>
        <v>0</v>
      </c>
      <c r="G399" s="7" t="str">
        <f>'01 Product Master'!J399</f>
        <v/>
      </c>
      <c r="H399" s="7" t="str">
        <f>'01 Product Master'!K399</f>
        <v/>
      </c>
      <c r="I399" s="1"/>
    </row>
    <row r="400" spans="1:9" ht="16" x14ac:dyDescent="0.2">
      <c r="A400" s="1" t="str">
        <f>'01 Product Master'!A400</f>
        <v>SN-0399</v>
      </c>
      <c r="B400" s="1">
        <f>'01 Product Master'!C400</f>
        <v>0</v>
      </c>
      <c r="C400" s="1">
        <f>'01 Product Master'!E400</f>
        <v>0</v>
      </c>
      <c r="D400" s="7">
        <f>'01 Product Master'!G400</f>
        <v>0</v>
      </c>
      <c r="E400" s="7">
        <f>'01 Product Master'!H400</f>
        <v>0</v>
      </c>
      <c r="F400" s="7">
        <f>'01 Product Master'!I400</f>
        <v>0</v>
      </c>
      <c r="G400" s="7" t="str">
        <f>'01 Product Master'!J400</f>
        <v/>
      </c>
      <c r="H400" s="7" t="str">
        <f>'01 Product Master'!K400</f>
        <v/>
      </c>
      <c r="I400" s="1"/>
    </row>
    <row r="401" spans="1:9" ht="16" x14ac:dyDescent="0.2">
      <c r="A401" s="1" t="str">
        <f>'01 Product Master'!A401</f>
        <v>SN-0400</v>
      </c>
      <c r="B401" s="1">
        <f>'01 Product Master'!C401</f>
        <v>0</v>
      </c>
      <c r="C401" s="1">
        <f>'01 Product Master'!E401</f>
        <v>0</v>
      </c>
      <c r="D401" s="7">
        <f>'01 Product Master'!G401</f>
        <v>0</v>
      </c>
      <c r="E401" s="7">
        <f>'01 Product Master'!H401</f>
        <v>0</v>
      </c>
      <c r="F401" s="7">
        <f>'01 Product Master'!I401</f>
        <v>0</v>
      </c>
      <c r="G401" s="7" t="str">
        <f>'01 Product Master'!J401</f>
        <v/>
      </c>
      <c r="H401" s="7" t="str">
        <f>'01 Product Master'!K401</f>
        <v/>
      </c>
      <c r="I401" s="1"/>
    </row>
    <row r="402" spans="1:9" ht="16" x14ac:dyDescent="0.2">
      <c r="A402" s="1" t="str">
        <f>'01 Product Master'!A402</f>
        <v>SN-0401</v>
      </c>
      <c r="B402" s="1">
        <f>'01 Product Master'!C402</f>
        <v>0</v>
      </c>
      <c r="C402" s="1">
        <f>'01 Product Master'!E402</f>
        <v>0</v>
      </c>
      <c r="D402" s="7">
        <f>'01 Product Master'!G402</f>
        <v>0</v>
      </c>
      <c r="E402" s="7">
        <f>'01 Product Master'!H402</f>
        <v>0</v>
      </c>
      <c r="F402" s="7">
        <f>'01 Product Master'!I402</f>
        <v>0</v>
      </c>
      <c r="G402" s="7" t="str">
        <f>'01 Product Master'!J402</f>
        <v/>
      </c>
      <c r="H402" s="7" t="str">
        <f>'01 Product Master'!K402</f>
        <v/>
      </c>
      <c r="I402" s="1"/>
    </row>
    <row r="403" spans="1:9" ht="16" x14ac:dyDescent="0.2">
      <c r="A403" s="1" t="str">
        <f>'01 Product Master'!A403</f>
        <v>SN-0402</v>
      </c>
      <c r="B403" s="1">
        <f>'01 Product Master'!C403</f>
        <v>0</v>
      </c>
      <c r="C403" s="1">
        <f>'01 Product Master'!E403</f>
        <v>0</v>
      </c>
      <c r="D403" s="7">
        <f>'01 Product Master'!G403</f>
        <v>0</v>
      </c>
      <c r="E403" s="7">
        <f>'01 Product Master'!H403</f>
        <v>0</v>
      </c>
      <c r="F403" s="7">
        <f>'01 Product Master'!I403</f>
        <v>0</v>
      </c>
      <c r="G403" s="7" t="str">
        <f>'01 Product Master'!J403</f>
        <v/>
      </c>
      <c r="H403" s="7" t="str">
        <f>'01 Product Master'!K403</f>
        <v/>
      </c>
      <c r="I403" s="1"/>
    </row>
    <row r="404" spans="1:9" ht="16" x14ac:dyDescent="0.2">
      <c r="A404" s="1" t="str">
        <f>'01 Product Master'!A404</f>
        <v>SN-0403</v>
      </c>
      <c r="B404" s="1">
        <f>'01 Product Master'!C404</f>
        <v>0</v>
      </c>
      <c r="C404" s="1">
        <f>'01 Product Master'!E404</f>
        <v>0</v>
      </c>
      <c r="D404" s="7">
        <f>'01 Product Master'!G404</f>
        <v>0</v>
      </c>
      <c r="E404" s="7">
        <f>'01 Product Master'!H404</f>
        <v>0</v>
      </c>
      <c r="F404" s="7">
        <f>'01 Product Master'!I404</f>
        <v>0</v>
      </c>
      <c r="G404" s="7" t="str">
        <f>'01 Product Master'!J404</f>
        <v/>
      </c>
      <c r="H404" s="7" t="str">
        <f>'01 Product Master'!K404</f>
        <v/>
      </c>
      <c r="I404" s="1"/>
    </row>
    <row r="405" spans="1:9" ht="16" x14ac:dyDescent="0.2">
      <c r="A405" s="1" t="str">
        <f>'01 Product Master'!A405</f>
        <v>SN-0404</v>
      </c>
      <c r="B405" s="1">
        <f>'01 Product Master'!C405</f>
        <v>0</v>
      </c>
      <c r="C405" s="1">
        <f>'01 Product Master'!E405</f>
        <v>0</v>
      </c>
      <c r="D405" s="7">
        <f>'01 Product Master'!G405</f>
        <v>0</v>
      </c>
      <c r="E405" s="7">
        <f>'01 Product Master'!H405</f>
        <v>0</v>
      </c>
      <c r="F405" s="7">
        <f>'01 Product Master'!I405</f>
        <v>0</v>
      </c>
      <c r="G405" s="7" t="str">
        <f>'01 Product Master'!J405</f>
        <v/>
      </c>
      <c r="H405" s="7" t="str">
        <f>'01 Product Master'!K405</f>
        <v/>
      </c>
      <c r="I405" s="1"/>
    </row>
    <row r="406" spans="1:9" ht="16" x14ac:dyDescent="0.2">
      <c r="A406" s="1" t="str">
        <f>'01 Product Master'!A406</f>
        <v>SN-0405</v>
      </c>
      <c r="B406" s="1">
        <f>'01 Product Master'!C406</f>
        <v>0</v>
      </c>
      <c r="C406" s="1">
        <f>'01 Product Master'!E406</f>
        <v>0</v>
      </c>
      <c r="D406" s="7">
        <f>'01 Product Master'!G406</f>
        <v>0</v>
      </c>
      <c r="E406" s="7">
        <f>'01 Product Master'!H406</f>
        <v>0</v>
      </c>
      <c r="F406" s="7">
        <f>'01 Product Master'!I406</f>
        <v>0</v>
      </c>
      <c r="G406" s="7" t="str">
        <f>'01 Product Master'!J406</f>
        <v/>
      </c>
      <c r="H406" s="7" t="str">
        <f>'01 Product Master'!K406</f>
        <v/>
      </c>
      <c r="I406" s="1"/>
    </row>
    <row r="407" spans="1:9" ht="16" x14ac:dyDescent="0.2">
      <c r="A407" s="1" t="str">
        <f>'01 Product Master'!A407</f>
        <v>SN-0406</v>
      </c>
      <c r="B407" s="1">
        <f>'01 Product Master'!C407</f>
        <v>0</v>
      </c>
      <c r="C407" s="1">
        <f>'01 Product Master'!E407</f>
        <v>0</v>
      </c>
      <c r="D407" s="7">
        <f>'01 Product Master'!G407</f>
        <v>0</v>
      </c>
      <c r="E407" s="7">
        <f>'01 Product Master'!H407</f>
        <v>0</v>
      </c>
      <c r="F407" s="7">
        <f>'01 Product Master'!I407</f>
        <v>0</v>
      </c>
      <c r="G407" s="7" t="str">
        <f>'01 Product Master'!J407</f>
        <v/>
      </c>
      <c r="H407" s="7" t="str">
        <f>'01 Product Master'!K407</f>
        <v/>
      </c>
      <c r="I407" s="1"/>
    </row>
    <row r="408" spans="1:9" ht="16" x14ac:dyDescent="0.2">
      <c r="A408" s="1" t="str">
        <f>'01 Product Master'!A408</f>
        <v>SN-0407</v>
      </c>
      <c r="B408" s="1">
        <f>'01 Product Master'!C408</f>
        <v>0</v>
      </c>
      <c r="C408" s="1">
        <f>'01 Product Master'!E408</f>
        <v>0</v>
      </c>
      <c r="D408" s="7">
        <f>'01 Product Master'!G408</f>
        <v>0</v>
      </c>
      <c r="E408" s="7">
        <f>'01 Product Master'!H408</f>
        <v>0</v>
      </c>
      <c r="F408" s="7">
        <f>'01 Product Master'!I408</f>
        <v>0</v>
      </c>
      <c r="G408" s="7" t="str">
        <f>'01 Product Master'!J408</f>
        <v/>
      </c>
      <c r="H408" s="7" t="str">
        <f>'01 Product Master'!K408</f>
        <v/>
      </c>
      <c r="I408" s="1"/>
    </row>
    <row r="409" spans="1:9" ht="16" x14ac:dyDescent="0.2">
      <c r="A409" s="1" t="str">
        <f>'01 Product Master'!A409</f>
        <v>SN-0408</v>
      </c>
      <c r="B409" s="1">
        <f>'01 Product Master'!C409</f>
        <v>0</v>
      </c>
      <c r="C409" s="1">
        <f>'01 Product Master'!E409</f>
        <v>0</v>
      </c>
      <c r="D409" s="7">
        <f>'01 Product Master'!G409</f>
        <v>0</v>
      </c>
      <c r="E409" s="7">
        <f>'01 Product Master'!H409</f>
        <v>0</v>
      </c>
      <c r="F409" s="7">
        <f>'01 Product Master'!I409</f>
        <v>0</v>
      </c>
      <c r="G409" s="7" t="str">
        <f>'01 Product Master'!J409</f>
        <v/>
      </c>
      <c r="H409" s="7" t="str">
        <f>'01 Product Master'!K409</f>
        <v/>
      </c>
      <c r="I409" s="1"/>
    </row>
    <row r="410" spans="1:9" ht="16" x14ac:dyDescent="0.2">
      <c r="A410" s="1" t="str">
        <f>'01 Product Master'!A410</f>
        <v>SN-0409</v>
      </c>
      <c r="B410" s="1">
        <f>'01 Product Master'!C410</f>
        <v>0</v>
      </c>
      <c r="C410" s="1">
        <f>'01 Product Master'!E410</f>
        <v>0</v>
      </c>
      <c r="D410" s="7">
        <f>'01 Product Master'!G410</f>
        <v>0</v>
      </c>
      <c r="E410" s="7">
        <f>'01 Product Master'!H410</f>
        <v>0</v>
      </c>
      <c r="F410" s="7">
        <f>'01 Product Master'!I410</f>
        <v>0</v>
      </c>
      <c r="G410" s="7" t="str">
        <f>'01 Product Master'!J410</f>
        <v/>
      </c>
      <c r="H410" s="7" t="str">
        <f>'01 Product Master'!K410</f>
        <v/>
      </c>
      <c r="I410" s="1"/>
    </row>
    <row r="411" spans="1:9" ht="16" x14ac:dyDescent="0.2">
      <c r="A411" s="1" t="str">
        <f>'01 Product Master'!A411</f>
        <v>SN-0410</v>
      </c>
      <c r="B411" s="1">
        <f>'01 Product Master'!C411</f>
        <v>0</v>
      </c>
      <c r="C411" s="1">
        <f>'01 Product Master'!E411</f>
        <v>0</v>
      </c>
      <c r="D411" s="7">
        <f>'01 Product Master'!G411</f>
        <v>0</v>
      </c>
      <c r="E411" s="7">
        <f>'01 Product Master'!H411</f>
        <v>0</v>
      </c>
      <c r="F411" s="7">
        <f>'01 Product Master'!I411</f>
        <v>0</v>
      </c>
      <c r="G411" s="7" t="str">
        <f>'01 Product Master'!J411</f>
        <v/>
      </c>
      <c r="H411" s="7" t="str">
        <f>'01 Product Master'!K411</f>
        <v/>
      </c>
      <c r="I411" s="1"/>
    </row>
    <row r="412" spans="1:9" ht="16" x14ac:dyDescent="0.2">
      <c r="A412" s="1" t="str">
        <f>'01 Product Master'!A412</f>
        <v>SN-0411</v>
      </c>
      <c r="B412" s="1">
        <f>'01 Product Master'!C412</f>
        <v>0</v>
      </c>
      <c r="C412" s="1">
        <f>'01 Product Master'!E412</f>
        <v>0</v>
      </c>
      <c r="D412" s="7">
        <f>'01 Product Master'!G412</f>
        <v>0</v>
      </c>
      <c r="E412" s="7">
        <f>'01 Product Master'!H412</f>
        <v>0</v>
      </c>
      <c r="F412" s="7">
        <f>'01 Product Master'!I412</f>
        <v>0</v>
      </c>
      <c r="G412" s="7" t="str">
        <f>'01 Product Master'!J412</f>
        <v/>
      </c>
      <c r="H412" s="7" t="str">
        <f>'01 Product Master'!K412</f>
        <v/>
      </c>
      <c r="I412" s="1"/>
    </row>
    <row r="413" spans="1:9" ht="16" x14ac:dyDescent="0.2">
      <c r="A413" s="1" t="str">
        <f>'01 Product Master'!A413</f>
        <v>SN-0412</v>
      </c>
      <c r="B413" s="1">
        <f>'01 Product Master'!C413</f>
        <v>0</v>
      </c>
      <c r="C413" s="1">
        <f>'01 Product Master'!E413</f>
        <v>0</v>
      </c>
      <c r="D413" s="7">
        <f>'01 Product Master'!G413</f>
        <v>0</v>
      </c>
      <c r="E413" s="7">
        <f>'01 Product Master'!H413</f>
        <v>0</v>
      </c>
      <c r="F413" s="7">
        <f>'01 Product Master'!I413</f>
        <v>0</v>
      </c>
      <c r="G413" s="7" t="str">
        <f>'01 Product Master'!J413</f>
        <v/>
      </c>
      <c r="H413" s="7" t="str">
        <f>'01 Product Master'!K413</f>
        <v/>
      </c>
      <c r="I413" s="1"/>
    </row>
    <row r="414" spans="1:9" ht="16" x14ac:dyDescent="0.2">
      <c r="A414" s="1" t="str">
        <f>'01 Product Master'!A414</f>
        <v>SN-0413</v>
      </c>
      <c r="B414" s="1">
        <f>'01 Product Master'!C414</f>
        <v>0</v>
      </c>
      <c r="C414" s="1">
        <f>'01 Product Master'!E414</f>
        <v>0</v>
      </c>
      <c r="D414" s="7">
        <f>'01 Product Master'!G414</f>
        <v>0</v>
      </c>
      <c r="E414" s="7">
        <f>'01 Product Master'!H414</f>
        <v>0</v>
      </c>
      <c r="F414" s="7">
        <f>'01 Product Master'!I414</f>
        <v>0</v>
      </c>
      <c r="G414" s="7" t="str">
        <f>'01 Product Master'!J414</f>
        <v/>
      </c>
      <c r="H414" s="7" t="str">
        <f>'01 Product Master'!K414</f>
        <v/>
      </c>
      <c r="I414" s="1"/>
    </row>
    <row r="415" spans="1:9" ht="16" x14ac:dyDescent="0.2">
      <c r="A415" s="1" t="str">
        <f>'01 Product Master'!A415</f>
        <v>SN-0414</v>
      </c>
      <c r="B415" s="1">
        <f>'01 Product Master'!C415</f>
        <v>0</v>
      </c>
      <c r="C415" s="1">
        <f>'01 Product Master'!E415</f>
        <v>0</v>
      </c>
      <c r="D415" s="7">
        <f>'01 Product Master'!G415</f>
        <v>0</v>
      </c>
      <c r="E415" s="7">
        <f>'01 Product Master'!H415</f>
        <v>0</v>
      </c>
      <c r="F415" s="7">
        <f>'01 Product Master'!I415</f>
        <v>0</v>
      </c>
      <c r="G415" s="7" t="str">
        <f>'01 Product Master'!J415</f>
        <v/>
      </c>
      <c r="H415" s="7" t="str">
        <f>'01 Product Master'!K415</f>
        <v/>
      </c>
      <c r="I415" s="1"/>
    </row>
    <row r="416" spans="1:9" ht="16" x14ac:dyDescent="0.2">
      <c r="A416" s="1" t="str">
        <f>'01 Product Master'!A416</f>
        <v>SN-0415</v>
      </c>
      <c r="B416" s="1">
        <f>'01 Product Master'!C416</f>
        <v>0</v>
      </c>
      <c r="C416" s="1">
        <f>'01 Product Master'!E416</f>
        <v>0</v>
      </c>
      <c r="D416" s="7">
        <f>'01 Product Master'!G416</f>
        <v>0</v>
      </c>
      <c r="E416" s="7">
        <f>'01 Product Master'!H416</f>
        <v>0</v>
      </c>
      <c r="F416" s="7">
        <f>'01 Product Master'!I416</f>
        <v>0</v>
      </c>
      <c r="G416" s="7" t="str">
        <f>'01 Product Master'!J416</f>
        <v/>
      </c>
      <c r="H416" s="7" t="str">
        <f>'01 Product Master'!K416</f>
        <v/>
      </c>
      <c r="I416" s="1"/>
    </row>
    <row r="417" spans="1:9" ht="16" x14ac:dyDescent="0.2">
      <c r="A417" s="1" t="str">
        <f>'01 Product Master'!A417</f>
        <v>SN-0416</v>
      </c>
      <c r="B417" s="1">
        <f>'01 Product Master'!C417</f>
        <v>0</v>
      </c>
      <c r="C417" s="1">
        <f>'01 Product Master'!E417</f>
        <v>0</v>
      </c>
      <c r="D417" s="7">
        <f>'01 Product Master'!G417</f>
        <v>0</v>
      </c>
      <c r="E417" s="7">
        <f>'01 Product Master'!H417</f>
        <v>0</v>
      </c>
      <c r="F417" s="7">
        <f>'01 Product Master'!I417</f>
        <v>0</v>
      </c>
      <c r="G417" s="7" t="str">
        <f>'01 Product Master'!J417</f>
        <v/>
      </c>
      <c r="H417" s="7" t="str">
        <f>'01 Product Master'!K417</f>
        <v/>
      </c>
      <c r="I417" s="1"/>
    </row>
    <row r="418" spans="1:9" ht="16" x14ac:dyDescent="0.2">
      <c r="A418" s="1" t="str">
        <f>'01 Product Master'!A418</f>
        <v>SN-0417</v>
      </c>
      <c r="B418" s="1">
        <f>'01 Product Master'!C418</f>
        <v>0</v>
      </c>
      <c r="C418" s="1">
        <f>'01 Product Master'!E418</f>
        <v>0</v>
      </c>
      <c r="D418" s="7">
        <f>'01 Product Master'!G418</f>
        <v>0</v>
      </c>
      <c r="E418" s="7">
        <f>'01 Product Master'!H418</f>
        <v>0</v>
      </c>
      <c r="F418" s="7">
        <f>'01 Product Master'!I418</f>
        <v>0</v>
      </c>
      <c r="G418" s="7" t="str">
        <f>'01 Product Master'!J418</f>
        <v/>
      </c>
      <c r="H418" s="7" t="str">
        <f>'01 Product Master'!K418</f>
        <v/>
      </c>
      <c r="I418" s="1"/>
    </row>
    <row r="419" spans="1:9" ht="16" x14ac:dyDescent="0.2">
      <c r="A419" s="1" t="str">
        <f>'01 Product Master'!A419</f>
        <v>SN-0418</v>
      </c>
      <c r="B419" s="1">
        <f>'01 Product Master'!C419</f>
        <v>0</v>
      </c>
      <c r="C419" s="1">
        <f>'01 Product Master'!E419</f>
        <v>0</v>
      </c>
      <c r="D419" s="7">
        <f>'01 Product Master'!G419</f>
        <v>0</v>
      </c>
      <c r="E419" s="7">
        <f>'01 Product Master'!H419</f>
        <v>0</v>
      </c>
      <c r="F419" s="7">
        <f>'01 Product Master'!I419</f>
        <v>0</v>
      </c>
      <c r="G419" s="7" t="str">
        <f>'01 Product Master'!J419</f>
        <v/>
      </c>
      <c r="H419" s="7" t="str">
        <f>'01 Product Master'!K419</f>
        <v/>
      </c>
      <c r="I419" s="1"/>
    </row>
    <row r="420" spans="1:9" ht="16" x14ac:dyDescent="0.2">
      <c r="A420" s="1" t="str">
        <f>'01 Product Master'!A420</f>
        <v>SN-0419</v>
      </c>
      <c r="B420" s="1">
        <f>'01 Product Master'!C420</f>
        <v>0</v>
      </c>
      <c r="C420" s="1">
        <f>'01 Product Master'!E420</f>
        <v>0</v>
      </c>
      <c r="D420" s="7">
        <f>'01 Product Master'!G420</f>
        <v>0</v>
      </c>
      <c r="E420" s="7">
        <f>'01 Product Master'!H420</f>
        <v>0</v>
      </c>
      <c r="F420" s="7">
        <f>'01 Product Master'!I420</f>
        <v>0</v>
      </c>
      <c r="G420" s="7" t="str">
        <f>'01 Product Master'!J420</f>
        <v/>
      </c>
      <c r="H420" s="7" t="str">
        <f>'01 Product Master'!K420</f>
        <v/>
      </c>
      <c r="I420" s="1"/>
    </row>
    <row r="421" spans="1:9" ht="16" x14ac:dyDescent="0.2">
      <c r="A421" s="1" t="str">
        <f>'01 Product Master'!A421</f>
        <v>SN-0420</v>
      </c>
      <c r="B421" s="1">
        <f>'01 Product Master'!C421</f>
        <v>0</v>
      </c>
      <c r="C421" s="1">
        <f>'01 Product Master'!E421</f>
        <v>0</v>
      </c>
      <c r="D421" s="7">
        <f>'01 Product Master'!G421</f>
        <v>0</v>
      </c>
      <c r="E421" s="7">
        <f>'01 Product Master'!H421</f>
        <v>0</v>
      </c>
      <c r="F421" s="7">
        <f>'01 Product Master'!I421</f>
        <v>0</v>
      </c>
      <c r="G421" s="7" t="str">
        <f>'01 Product Master'!J421</f>
        <v/>
      </c>
      <c r="H421" s="7" t="str">
        <f>'01 Product Master'!K421</f>
        <v/>
      </c>
      <c r="I421" s="1"/>
    </row>
    <row r="422" spans="1:9" ht="16" x14ac:dyDescent="0.2">
      <c r="A422" s="1" t="str">
        <f>'01 Product Master'!A422</f>
        <v>SN-0421</v>
      </c>
      <c r="B422" s="1">
        <f>'01 Product Master'!C422</f>
        <v>0</v>
      </c>
      <c r="C422" s="1">
        <f>'01 Product Master'!E422</f>
        <v>0</v>
      </c>
      <c r="D422" s="7">
        <f>'01 Product Master'!G422</f>
        <v>0</v>
      </c>
      <c r="E422" s="7">
        <f>'01 Product Master'!H422</f>
        <v>0</v>
      </c>
      <c r="F422" s="7">
        <f>'01 Product Master'!I422</f>
        <v>0</v>
      </c>
      <c r="G422" s="7" t="str">
        <f>'01 Product Master'!J422</f>
        <v/>
      </c>
      <c r="H422" s="7" t="str">
        <f>'01 Product Master'!K422</f>
        <v/>
      </c>
      <c r="I422" s="1"/>
    </row>
    <row r="423" spans="1:9" ht="16" x14ac:dyDescent="0.2">
      <c r="A423" s="1" t="str">
        <f>'01 Product Master'!A423</f>
        <v>SN-0422</v>
      </c>
      <c r="B423" s="1">
        <f>'01 Product Master'!C423</f>
        <v>0</v>
      </c>
      <c r="C423" s="1">
        <f>'01 Product Master'!E423</f>
        <v>0</v>
      </c>
      <c r="D423" s="7">
        <f>'01 Product Master'!G423</f>
        <v>0</v>
      </c>
      <c r="E423" s="7">
        <f>'01 Product Master'!H423</f>
        <v>0</v>
      </c>
      <c r="F423" s="7">
        <f>'01 Product Master'!I423</f>
        <v>0</v>
      </c>
      <c r="G423" s="7" t="str">
        <f>'01 Product Master'!J423</f>
        <v/>
      </c>
      <c r="H423" s="7" t="str">
        <f>'01 Product Master'!K423</f>
        <v/>
      </c>
      <c r="I423" s="1"/>
    </row>
    <row r="424" spans="1:9" ht="16" x14ac:dyDescent="0.2">
      <c r="A424" s="1" t="str">
        <f>'01 Product Master'!A424</f>
        <v>SN-0423</v>
      </c>
      <c r="B424" s="1">
        <f>'01 Product Master'!C424</f>
        <v>0</v>
      </c>
      <c r="C424" s="1">
        <f>'01 Product Master'!E424</f>
        <v>0</v>
      </c>
      <c r="D424" s="7">
        <f>'01 Product Master'!G424</f>
        <v>0</v>
      </c>
      <c r="E424" s="7">
        <f>'01 Product Master'!H424</f>
        <v>0</v>
      </c>
      <c r="F424" s="7">
        <f>'01 Product Master'!I424</f>
        <v>0</v>
      </c>
      <c r="G424" s="7" t="str">
        <f>'01 Product Master'!J424</f>
        <v/>
      </c>
      <c r="H424" s="7" t="str">
        <f>'01 Product Master'!K424</f>
        <v/>
      </c>
      <c r="I424" s="1"/>
    </row>
    <row r="425" spans="1:9" ht="16" x14ac:dyDescent="0.2">
      <c r="A425" s="1" t="str">
        <f>'01 Product Master'!A425</f>
        <v>SN-0424</v>
      </c>
      <c r="B425" s="1">
        <f>'01 Product Master'!C425</f>
        <v>0</v>
      </c>
      <c r="C425" s="1">
        <f>'01 Product Master'!E425</f>
        <v>0</v>
      </c>
      <c r="D425" s="7">
        <f>'01 Product Master'!G425</f>
        <v>0</v>
      </c>
      <c r="E425" s="7">
        <f>'01 Product Master'!H425</f>
        <v>0</v>
      </c>
      <c r="F425" s="7">
        <f>'01 Product Master'!I425</f>
        <v>0</v>
      </c>
      <c r="G425" s="7" t="str">
        <f>'01 Product Master'!J425</f>
        <v/>
      </c>
      <c r="H425" s="7" t="str">
        <f>'01 Product Master'!K425</f>
        <v/>
      </c>
      <c r="I425" s="1"/>
    </row>
    <row r="426" spans="1:9" ht="16" x14ac:dyDescent="0.2">
      <c r="A426" s="1" t="str">
        <f>'01 Product Master'!A426</f>
        <v>SN-0425</v>
      </c>
      <c r="B426" s="1">
        <f>'01 Product Master'!C426</f>
        <v>0</v>
      </c>
      <c r="C426" s="1">
        <f>'01 Product Master'!E426</f>
        <v>0</v>
      </c>
      <c r="D426" s="7">
        <f>'01 Product Master'!G426</f>
        <v>0</v>
      </c>
      <c r="E426" s="7">
        <f>'01 Product Master'!H426</f>
        <v>0</v>
      </c>
      <c r="F426" s="7">
        <f>'01 Product Master'!I426</f>
        <v>0</v>
      </c>
      <c r="G426" s="7" t="str">
        <f>'01 Product Master'!J426</f>
        <v/>
      </c>
      <c r="H426" s="7" t="str">
        <f>'01 Product Master'!K426</f>
        <v/>
      </c>
      <c r="I426" s="1"/>
    </row>
    <row r="427" spans="1:9" ht="16" x14ac:dyDescent="0.2">
      <c r="A427" s="1" t="str">
        <f>'01 Product Master'!A427</f>
        <v>SN-0426</v>
      </c>
      <c r="B427" s="1">
        <f>'01 Product Master'!C427</f>
        <v>0</v>
      </c>
      <c r="C427" s="1">
        <f>'01 Product Master'!E427</f>
        <v>0</v>
      </c>
      <c r="D427" s="7">
        <f>'01 Product Master'!G427</f>
        <v>0</v>
      </c>
      <c r="E427" s="7">
        <f>'01 Product Master'!H427</f>
        <v>0</v>
      </c>
      <c r="F427" s="7">
        <f>'01 Product Master'!I427</f>
        <v>0</v>
      </c>
      <c r="G427" s="7" t="str">
        <f>'01 Product Master'!J427</f>
        <v/>
      </c>
      <c r="H427" s="7" t="str">
        <f>'01 Product Master'!K427</f>
        <v/>
      </c>
      <c r="I427" s="1"/>
    </row>
    <row r="428" spans="1:9" ht="16" x14ac:dyDescent="0.2">
      <c r="A428" s="1" t="str">
        <f>'01 Product Master'!A428</f>
        <v>SN-0427</v>
      </c>
      <c r="B428" s="1">
        <f>'01 Product Master'!C428</f>
        <v>0</v>
      </c>
      <c r="C428" s="1">
        <f>'01 Product Master'!E428</f>
        <v>0</v>
      </c>
      <c r="D428" s="7">
        <f>'01 Product Master'!G428</f>
        <v>0</v>
      </c>
      <c r="E428" s="7">
        <f>'01 Product Master'!H428</f>
        <v>0</v>
      </c>
      <c r="F428" s="7">
        <f>'01 Product Master'!I428</f>
        <v>0</v>
      </c>
      <c r="G428" s="7" t="str">
        <f>'01 Product Master'!J428</f>
        <v/>
      </c>
      <c r="H428" s="7" t="str">
        <f>'01 Product Master'!K428</f>
        <v/>
      </c>
      <c r="I428" s="1"/>
    </row>
    <row r="429" spans="1:9" ht="16" x14ac:dyDescent="0.2">
      <c r="A429" s="1" t="str">
        <f>'01 Product Master'!A429</f>
        <v>SN-0428</v>
      </c>
      <c r="B429" s="1">
        <f>'01 Product Master'!C429</f>
        <v>0</v>
      </c>
      <c r="C429" s="1">
        <f>'01 Product Master'!E429</f>
        <v>0</v>
      </c>
      <c r="D429" s="7">
        <f>'01 Product Master'!G429</f>
        <v>0</v>
      </c>
      <c r="E429" s="7">
        <f>'01 Product Master'!H429</f>
        <v>0</v>
      </c>
      <c r="F429" s="7">
        <f>'01 Product Master'!I429</f>
        <v>0</v>
      </c>
      <c r="G429" s="7" t="str">
        <f>'01 Product Master'!J429</f>
        <v/>
      </c>
      <c r="H429" s="7" t="str">
        <f>'01 Product Master'!K429</f>
        <v/>
      </c>
      <c r="I429" s="1"/>
    </row>
    <row r="430" spans="1:9" ht="16" x14ac:dyDescent="0.2">
      <c r="A430" s="1" t="str">
        <f>'01 Product Master'!A430</f>
        <v>SN-0429</v>
      </c>
      <c r="B430" s="1">
        <f>'01 Product Master'!C430</f>
        <v>0</v>
      </c>
      <c r="C430" s="1">
        <f>'01 Product Master'!E430</f>
        <v>0</v>
      </c>
      <c r="D430" s="7">
        <f>'01 Product Master'!G430</f>
        <v>0</v>
      </c>
      <c r="E430" s="7">
        <f>'01 Product Master'!H430</f>
        <v>0</v>
      </c>
      <c r="F430" s="7">
        <f>'01 Product Master'!I430</f>
        <v>0</v>
      </c>
      <c r="G430" s="7" t="str">
        <f>'01 Product Master'!J430</f>
        <v/>
      </c>
      <c r="H430" s="7" t="str">
        <f>'01 Product Master'!K430</f>
        <v/>
      </c>
      <c r="I430" s="1"/>
    </row>
    <row r="431" spans="1:9" ht="16" x14ac:dyDescent="0.2">
      <c r="A431" s="1" t="str">
        <f>'01 Product Master'!A431</f>
        <v>SN-0430</v>
      </c>
      <c r="B431" s="1">
        <f>'01 Product Master'!C431</f>
        <v>0</v>
      </c>
      <c r="C431" s="1">
        <f>'01 Product Master'!E431</f>
        <v>0</v>
      </c>
      <c r="D431" s="7">
        <f>'01 Product Master'!G431</f>
        <v>0</v>
      </c>
      <c r="E431" s="7">
        <f>'01 Product Master'!H431</f>
        <v>0</v>
      </c>
      <c r="F431" s="7">
        <f>'01 Product Master'!I431</f>
        <v>0</v>
      </c>
      <c r="G431" s="7" t="str">
        <f>'01 Product Master'!J431</f>
        <v/>
      </c>
      <c r="H431" s="7" t="str">
        <f>'01 Product Master'!K431</f>
        <v/>
      </c>
      <c r="I431" s="1"/>
    </row>
    <row r="432" spans="1:9" ht="16" x14ac:dyDescent="0.2">
      <c r="A432" s="1" t="str">
        <f>'01 Product Master'!A432</f>
        <v>SN-0431</v>
      </c>
      <c r="B432" s="1">
        <f>'01 Product Master'!C432</f>
        <v>0</v>
      </c>
      <c r="C432" s="1">
        <f>'01 Product Master'!E432</f>
        <v>0</v>
      </c>
      <c r="D432" s="7">
        <f>'01 Product Master'!G432</f>
        <v>0</v>
      </c>
      <c r="E432" s="7">
        <f>'01 Product Master'!H432</f>
        <v>0</v>
      </c>
      <c r="F432" s="7">
        <f>'01 Product Master'!I432</f>
        <v>0</v>
      </c>
      <c r="G432" s="7" t="str">
        <f>'01 Product Master'!J432</f>
        <v/>
      </c>
      <c r="H432" s="7" t="str">
        <f>'01 Product Master'!K432</f>
        <v/>
      </c>
      <c r="I432" s="1"/>
    </row>
    <row r="433" spans="1:9" ht="16" x14ac:dyDescent="0.2">
      <c r="A433" s="1" t="str">
        <f>'01 Product Master'!A433</f>
        <v>SN-0432</v>
      </c>
      <c r="B433" s="1">
        <f>'01 Product Master'!C433</f>
        <v>0</v>
      </c>
      <c r="C433" s="1">
        <f>'01 Product Master'!E433</f>
        <v>0</v>
      </c>
      <c r="D433" s="7">
        <f>'01 Product Master'!G433</f>
        <v>0</v>
      </c>
      <c r="E433" s="7">
        <f>'01 Product Master'!H433</f>
        <v>0</v>
      </c>
      <c r="F433" s="7">
        <f>'01 Product Master'!I433</f>
        <v>0</v>
      </c>
      <c r="G433" s="7" t="str">
        <f>'01 Product Master'!J433</f>
        <v/>
      </c>
      <c r="H433" s="7" t="str">
        <f>'01 Product Master'!K433</f>
        <v/>
      </c>
      <c r="I433" s="1"/>
    </row>
    <row r="434" spans="1:9" ht="16" x14ac:dyDescent="0.2">
      <c r="A434" s="1" t="str">
        <f>'01 Product Master'!A434</f>
        <v>SN-0433</v>
      </c>
      <c r="B434" s="1">
        <f>'01 Product Master'!C434</f>
        <v>0</v>
      </c>
      <c r="C434" s="1">
        <f>'01 Product Master'!E434</f>
        <v>0</v>
      </c>
      <c r="D434" s="7">
        <f>'01 Product Master'!G434</f>
        <v>0</v>
      </c>
      <c r="E434" s="7">
        <f>'01 Product Master'!H434</f>
        <v>0</v>
      </c>
      <c r="F434" s="7">
        <f>'01 Product Master'!I434</f>
        <v>0</v>
      </c>
      <c r="G434" s="7" t="str">
        <f>'01 Product Master'!J434</f>
        <v/>
      </c>
      <c r="H434" s="7" t="str">
        <f>'01 Product Master'!K434</f>
        <v/>
      </c>
      <c r="I434" s="1"/>
    </row>
    <row r="435" spans="1:9" ht="16" x14ac:dyDescent="0.2">
      <c r="A435" s="1" t="str">
        <f>'01 Product Master'!A435</f>
        <v>SN-0434</v>
      </c>
      <c r="B435" s="1">
        <f>'01 Product Master'!C435</f>
        <v>0</v>
      </c>
      <c r="C435" s="1">
        <f>'01 Product Master'!E435</f>
        <v>0</v>
      </c>
      <c r="D435" s="7">
        <f>'01 Product Master'!G435</f>
        <v>0</v>
      </c>
      <c r="E435" s="7">
        <f>'01 Product Master'!H435</f>
        <v>0</v>
      </c>
      <c r="F435" s="7">
        <f>'01 Product Master'!I435</f>
        <v>0</v>
      </c>
      <c r="G435" s="7" t="str">
        <f>'01 Product Master'!J435</f>
        <v/>
      </c>
      <c r="H435" s="7" t="str">
        <f>'01 Product Master'!K435</f>
        <v/>
      </c>
      <c r="I435" s="1"/>
    </row>
    <row r="436" spans="1:9" ht="16" x14ac:dyDescent="0.2">
      <c r="A436" s="1" t="str">
        <f>'01 Product Master'!A436</f>
        <v>SN-0435</v>
      </c>
      <c r="B436" s="1">
        <f>'01 Product Master'!C436</f>
        <v>0</v>
      </c>
      <c r="C436" s="1">
        <f>'01 Product Master'!E436</f>
        <v>0</v>
      </c>
      <c r="D436" s="7">
        <f>'01 Product Master'!G436</f>
        <v>0</v>
      </c>
      <c r="E436" s="7">
        <f>'01 Product Master'!H436</f>
        <v>0</v>
      </c>
      <c r="F436" s="7">
        <f>'01 Product Master'!I436</f>
        <v>0</v>
      </c>
      <c r="G436" s="7" t="str">
        <f>'01 Product Master'!J436</f>
        <v/>
      </c>
      <c r="H436" s="7" t="str">
        <f>'01 Product Master'!K436</f>
        <v/>
      </c>
      <c r="I436" s="1"/>
    </row>
    <row r="437" spans="1:9" ht="16" x14ac:dyDescent="0.2">
      <c r="A437" s="1" t="str">
        <f>'01 Product Master'!A437</f>
        <v>SN-0436</v>
      </c>
      <c r="B437" s="1">
        <f>'01 Product Master'!C437</f>
        <v>0</v>
      </c>
      <c r="C437" s="1">
        <f>'01 Product Master'!E437</f>
        <v>0</v>
      </c>
      <c r="D437" s="7">
        <f>'01 Product Master'!G437</f>
        <v>0</v>
      </c>
      <c r="E437" s="7">
        <f>'01 Product Master'!H437</f>
        <v>0</v>
      </c>
      <c r="F437" s="7">
        <f>'01 Product Master'!I437</f>
        <v>0</v>
      </c>
      <c r="G437" s="7" t="str">
        <f>'01 Product Master'!J437</f>
        <v/>
      </c>
      <c r="H437" s="7" t="str">
        <f>'01 Product Master'!K437</f>
        <v/>
      </c>
      <c r="I437" s="1"/>
    </row>
    <row r="438" spans="1:9" ht="16" x14ac:dyDescent="0.2">
      <c r="A438" s="1" t="str">
        <f>'01 Product Master'!A438</f>
        <v>SN-0437</v>
      </c>
      <c r="B438" s="1">
        <f>'01 Product Master'!C438</f>
        <v>0</v>
      </c>
      <c r="C438" s="1">
        <f>'01 Product Master'!E438</f>
        <v>0</v>
      </c>
      <c r="D438" s="7">
        <f>'01 Product Master'!G438</f>
        <v>0</v>
      </c>
      <c r="E438" s="7">
        <f>'01 Product Master'!H438</f>
        <v>0</v>
      </c>
      <c r="F438" s="7">
        <f>'01 Product Master'!I438</f>
        <v>0</v>
      </c>
      <c r="G438" s="7" t="str">
        <f>'01 Product Master'!J438</f>
        <v/>
      </c>
      <c r="H438" s="7" t="str">
        <f>'01 Product Master'!K438</f>
        <v/>
      </c>
      <c r="I438" s="1"/>
    </row>
    <row r="439" spans="1:9" ht="16" x14ac:dyDescent="0.2">
      <c r="A439" s="1" t="str">
        <f>'01 Product Master'!A439</f>
        <v>SN-0438</v>
      </c>
      <c r="B439" s="1">
        <f>'01 Product Master'!C439</f>
        <v>0</v>
      </c>
      <c r="C439" s="1">
        <f>'01 Product Master'!E439</f>
        <v>0</v>
      </c>
      <c r="D439" s="7">
        <f>'01 Product Master'!G439</f>
        <v>0</v>
      </c>
      <c r="E439" s="7">
        <f>'01 Product Master'!H439</f>
        <v>0</v>
      </c>
      <c r="F439" s="7">
        <f>'01 Product Master'!I439</f>
        <v>0</v>
      </c>
      <c r="G439" s="7" t="str">
        <f>'01 Product Master'!J439</f>
        <v/>
      </c>
      <c r="H439" s="7" t="str">
        <f>'01 Product Master'!K439</f>
        <v/>
      </c>
      <c r="I439" s="1"/>
    </row>
    <row r="440" spans="1:9" ht="16" x14ac:dyDescent="0.2">
      <c r="A440" s="1" t="str">
        <f>'01 Product Master'!A440</f>
        <v>SN-0439</v>
      </c>
      <c r="B440" s="1">
        <f>'01 Product Master'!C440</f>
        <v>0</v>
      </c>
      <c r="C440" s="1">
        <f>'01 Product Master'!E440</f>
        <v>0</v>
      </c>
      <c r="D440" s="7">
        <f>'01 Product Master'!G440</f>
        <v>0</v>
      </c>
      <c r="E440" s="7">
        <f>'01 Product Master'!H440</f>
        <v>0</v>
      </c>
      <c r="F440" s="7">
        <f>'01 Product Master'!I440</f>
        <v>0</v>
      </c>
      <c r="G440" s="7" t="str">
        <f>'01 Product Master'!J440</f>
        <v/>
      </c>
      <c r="H440" s="7" t="str">
        <f>'01 Product Master'!K440</f>
        <v/>
      </c>
      <c r="I440" s="1"/>
    </row>
    <row r="441" spans="1:9" ht="16" x14ac:dyDescent="0.2">
      <c r="A441" s="1" t="str">
        <f>'01 Product Master'!A441</f>
        <v>SN-0440</v>
      </c>
      <c r="B441" s="1">
        <f>'01 Product Master'!C441</f>
        <v>0</v>
      </c>
      <c r="C441" s="1">
        <f>'01 Product Master'!E441</f>
        <v>0</v>
      </c>
      <c r="D441" s="7">
        <f>'01 Product Master'!G441</f>
        <v>0</v>
      </c>
      <c r="E441" s="7">
        <f>'01 Product Master'!H441</f>
        <v>0</v>
      </c>
      <c r="F441" s="7">
        <f>'01 Product Master'!I441</f>
        <v>0</v>
      </c>
      <c r="G441" s="7" t="str">
        <f>'01 Product Master'!J441</f>
        <v/>
      </c>
      <c r="H441" s="7" t="str">
        <f>'01 Product Master'!K441</f>
        <v/>
      </c>
      <c r="I441" s="1"/>
    </row>
    <row r="442" spans="1:9" ht="16" x14ac:dyDescent="0.2">
      <c r="A442" s="1" t="str">
        <f>'01 Product Master'!A442</f>
        <v>SN-0441</v>
      </c>
      <c r="B442" s="1">
        <f>'01 Product Master'!C442</f>
        <v>0</v>
      </c>
      <c r="C442" s="1">
        <f>'01 Product Master'!E442</f>
        <v>0</v>
      </c>
      <c r="D442" s="7">
        <f>'01 Product Master'!G442</f>
        <v>0</v>
      </c>
      <c r="E442" s="7">
        <f>'01 Product Master'!H442</f>
        <v>0</v>
      </c>
      <c r="F442" s="7">
        <f>'01 Product Master'!I442</f>
        <v>0</v>
      </c>
      <c r="G442" s="7" t="str">
        <f>'01 Product Master'!J442</f>
        <v/>
      </c>
      <c r="H442" s="7" t="str">
        <f>'01 Product Master'!K442</f>
        <v/>
      </c>
      <c r="I442" s="1"/>
    </row>
    <row r="443" spans="1:9" ht="16" x14ac:dyDescent="0.2">
      <c r="A443" s="1" t="str">
        <f>'01 Product Master'!A443</f>
        <v>SN-0442</v>
      </c>
      <c r="B443" s="1">
        <f>'01 Product Master'!C443</f>
        <v>0</v>
      </c>
      <c r="C443" s="1">
        <f>'01 Product Master'!E443</f>
        <v>0</v>
      </c>
      <c r="D443" s="7">
        <f>'01 Product Master'!G443</f>
        <v>0</v>
      </c>
      <c r="E443" s="7">
        <f>'01 Product Master'!H443</f>
        <v>0</v>
      </c>
      <c r="F443" s="7">
        <f>'01 Product Master'!I443</f>
        <v>0</v>
      </c>
      <c r="G443" s="7" t="str">
        <f>'01 Product Master'!J443</f>
        <v/>
      </c>
      <c r="H443" s="7" t="str">
        <f>'01 Product Master'!K443</f>
        <v/>
      </c>
      <c r="I443" s="1"/>
    </row>
    <row r="444" spans="1:9" ht="16" x14ac:dyDescent="0.2">
      <c r="A444" s="1" t="str">
        <f>'01 Product Master'!A444</f>
        <v>SN-0443</v>
      </c>
      <c r="B444" s="1">
        <f>'01 Product Master'!C444</f>
        <v>0</v>
      </c>
      <c r="C444" s="1">
        <f>'01 Product Master'!E444</f>
        <v>0</v>
      </c>
      <c r="D444" s="7">
        <f>'01 Product Master'!G444</f>
        <v>0</v>
      </c>
      <c r="E444" s="7">
        <f>'01 Product Master'!H444</f>
        <v>0</v>
      </c>
      <c r="F444" s="7">
        <f>'01 Product Master'!I444</f>
        <v>0</v>
      </c>
      <c r="G444" s="7" t="str">
        <f>'01 Product Master'!J444</f>
        <v/>
      </c>
      <c r="H444" s="7" t="str">
        <f>'01 Product Master'!K444</f>
        <v/>
      </c>
      <c r="I444" s="1"/>
    </row>
    <row r="445" spans="1:9" ht="16" x14ac:dyDescent="0.2">
      <c r="A445" s="1" t="str">
        <f>'01 Product Master'!A445</f>
        <v>SN-0444</v>
      </c>
      <c r="B445" s="1">
        <f>'01 Product Master'!C445</f>
        <v>0</v>
      </c>
      <c r="C445" s="1">
        <f>'01 Product Master'!E445</f>
        <v>0</v>
      </c>
      <c r="D445" s="7">
        <f>'01 Product Master'!G445</f>
        <v>0</v>
      </c>
      <c r="E445" s="7">
        <f>'01 Product Master'!H445</f>
        <v>0</v>
      </c>
      <c r="F445" s="7">
        <f>'01 Product Master'!I445</f>
        <v>0</v>
      </c>
      <c r="G445" s="7" t="str">
        <f>'01 Product Master'!J445</f>
        <v/>
      </c>
      <c r="H445" s="7" t="str">
        <f>'01 Product Master'!K445</f>
        <v/>
      </c>
      <c r="I445" s="1"/>
    </row>
    <row r="446" spans="1:9" ht="16" x14ac:dyDescent="0.2">
      <c r="A446" s="1" t="str">
        <f>'01 Product Master'!A446</f>
        <v>SN-0445</v>
      </c>
      <c r="B446" s="1">
        <f>'01 Product Master'!C446</f>
        <v>0</v>
      </c>
      <c r="C446" s="1">
        <f>'01 Product Master'!E446</f>
        <v>0</v>
      </c>
      <c r="D446" s="7">
        <f>'01 Product Master'!G446</f>
        <v>0</v>
      </c>
      <c r="E446" s="7">
        <f>'01 Product Master'!H446</f>
        <v>0</v>
      </c>
      <c r="F446" s="7">
        <f>'01 Product Master'!I446</f>
        <v>0</v>
      </c>
      <c r="G446" s="7" t="str">
        <f>'01 Product Master'!J446</f>
        <v/>
      </c>
      <c r="H446" s="7" t="str">
        <f>'01 Product Master'!K446</f>
        <v/>
      </c>
      <c r="I446" s="1"/>
    </row>
    <row r="447" spans="1:9" ht="16" x14ac:dyDescent="0.2">
      <c r="A447" s="1" t="str">
        <f>'01 Product Master'!A447</f>
        <v>SN-0446</v>
      </c>
      <c r="B447" s="1">
        <f>'01 Product Master'!C447</f>
        <v>0</v>
      </c>
      <c r="C447" s="1">
        <f>'01 Product Master'!E447</f>
        <v>0</v>
      </c>
      <c r="D447" s="7">
        <f>'01 Product Master'!G447</f>
        <v>0</v>
      </c>
      <c r="E447" s="7">
        <f>'01 Product Master'!H447</f>
        <v>0</v>
      </c>
      <c r="F447" s="7">
        <f>'01 Product Master'!I447</f>
        <v>0</v>
      </c>
      <c r="G447" s="7" t="str">
        <f>'01 Product Master'!J447</f>
        <v/>
      </c>
      <c r="H447" s="7" t="str">
        <f>'01 Product Master'!K447</f>
        <v/>
      </c>
      <c r="I447" s="1"/>
    </row>
    <row r="448" spans="1:9" ht="16" x14ac:dyDescent="0.2">
      <c r="A448" s="1" t="str">
        <f>'01 Product Master'!A448</f>
        <v>SN-0447</v>
      </c>
      <c r="B448" s="1">
        <f>'01 Product Master'!C448</f>
        <v>0</v>
      </c>
      <c r="C448" s="1">
        <f>'01 Product Master'!E448</f>
        <v>0</v>
      </c>
      <c r="D448" s="7">
        <f>'01 Product Master'!G448</f>
        <v>0</v>
      </c>
      <c r="E448" s="7">
        <f>'01 Product Master'!H448</f>
        <v>0</v>
      </c>
      <c r="F448" s="7">
        <f>'01 Product Master'!I448</f>
        <v>0</v>
      </c>
      <c r="G448" s="7" t="str">
        <f>'01 Product Master'!J448</f>
        <v/>
      </c>
      <c r="H448" s="7" t="str">
        <f>'01 Product Master'!K448</f>
        <v/>
      </c>
      <c r="I448" s="1"/>
    </row>
    <row r="449" spans="1:9" ht="16" x14ac:dyDescent="0.2">
      <c r="A449" s="1" t="str">
        <f>'01 Product Master'!A449</f>
        <v>SN-0448</v>
      </c>
      <c r="B449" s="1">
        <f>'01 Product Master'!C449</f>
        <v>0</v>
      </c>
      <c r="C449" s="1">
        <f>'01 Product Master'!E449</f>
        <v>0</v>
      </c>
      <c r="D449" s="7">
        <f>'01 Product Master'!G449</f>
        <v>0</v>
      </c>
      <c r="E449" s="7">
        <f>'01 Product Master'!H449</f>
        <v>0</v>
      </c>
      <c r="F449" s="7">
        <f>'01 Product Master'!I449</f>
        <v>0</v>
      </c>
      <c r="G449" s="7" t="str">
        <f>'01 Product Master'!J449</f>
        <v/>
      </c>
      <c r="H449" s="7" t="str">
        <f>'01 Product Master'!K449</f>
        <v/>
      </c>
      <c r="I449" s="1"/>
    </row>
    <row r="450" spans="1:9" ht="16" x14ac:dyDescent="0.2">
      <c r="A450" s="1" t="str">
        <f>'01 Product Master'!A450</f>
        <v>SN-0449</v>
      </c>
      <c r="B450" s="1">
        <f>'01 Product Master'!C450</f>
        <v>0</v>
      </c>
      <c r="C450" s="1">
        <f>'01 Product Master'!E450</f>
        <v>0</v>
      </c>
      <c r="D450" s="7">
        <f>'01 Product Master'!G450</f>
        <v>0</v>
      </c>
      <c r="E450" s="7">
        <f>'01 Product Master'!H450</f>
        <v>0</v>
      </c>
      <c r="F450" s="7">
        <f>'01 Product Master'!I450</f>
        <v>0</v>
      </c>
      <c r="G450" s="7" t="str">
        <f>'01 Product Master'!J450</f>
        <v/>
      </c>
      <c r="H450" s="7" t="str">
        <f>'01 Product Master'!K450</f>
        <v/>
      </c>
      <c r="I450" s="1"/>
    </row>
    <row r="451" spans="1:9" ht="16" x14ac:dyDescent="0.2">
      <c r="A451" s="1" t="str">
        <f>'01 Product Master'!A451</f>
        <v>SN-0450</v>
      </c>
      <c r="B451" s="1">
        <f>'01 Product Master'!C451</f>
        <v>0</v>
      </c>
      <c r="C451" s="1">
        <f>'01 Product Master'!E451</f>
        <v>0</v>
      </c>
      <c r="D451" s="7">
        <f>'01 Product Master'!G451</f>
        <v>0</v>
      </c>
      <c r="E451" s="7">
        <f>'01 Product Master'!H451</f>
        <v>0</v>
      </c>
      <c r="F451" s="7">
        <f>'01 Product Master'!I451</f>
        <v>0</v>
      </c>
      <c r="G451" s="7" t="str">
        <f>'01 Product Master'!J451</f>
        <v/>
      </c>
      <c r="H451" s="7" t="str">
        <f>'01 Product Master'!K451</f>
        <v/>
      </c>
      <c r="I451" s="1"/>
    </row>
    <row r="452" spans="1:9" ht="16" x14ac:dyDescent="0.2">
      <c r="A452" s="1" t="str">
        <f>'01 Product Master'!A452</f>
        <v>SN-0451</v>
      </c>
      <c r="B452" s="1">
        <f>'01 Product Master'!C452</f>
        <v>0</v>
      </c>
      <c r="C452" s="1">
        <f>'01 Product Master'!E452</f>
        <v>0</v>
      </c>
      <c r="D452" s="7">
        <f>'01 Product Master'!G452</f>
        <v>0</v>
      </c>
      <c r="E452" s="7">
        <f>'01 Product Master'!H452</f>
        <v>0</v>
      </c>
      <c r="F452" s="7">
        <f>'01 Product Master'!I452</f>
        <v>0</v>
      </c>
      <c r="G452" s="7" t="str">
        <f>'01 Product Master'!J452</f>
        <v/>
      </c>
      <c r="H452" s="7" t="str">
        <f>'01 Product Master'!K452</f>
        <v/>
      </c>
      <c r="I452" s="1"/>
    </row>
    <row r="453" spans="1:9" ht="16" x14ac:dyDescent="0.2">
      <c r="A453" s="1" t="str">
        <f>'01 Product Master'!A453</f>
        <v>SN-0452</v>
      </c>
      <c r="B453" s="1">
        <f>'01 Product Master'!C453</f>
        <v>0</v>
      </c>
      <c r="C453" s="1">
        <f>'01 Product Master'!E453</f>
        <v>0</v>
      </c>
      <c r="D453" s="7">
        <f>'01 Product Master'!G453</f>
        <v>0</v>
      </c>
      <c r="E453" s="7">
        <f>'01 Product Master'!H453</f>
        <v>0</v>
      </c>
      <c r="F453" s="7">
        <f>'01 Product Master'!I453</f>
        <v>0</v>
      </c>
      <c r="G453" s="7" t="str">
        <f>'01 Product Master'!J453</f>
        <v/>
      </c>
      <c r="H453" s="7" t="str">
        <f>'01 Product Master'!K453</f>
        <v/>
      </c>
      <c r="I453" s="1"/>
    </row>
    <row r="454" spans="1:9" ht="16" x14ac:dyDescent="0.2">
      <c r="A454" s="1" t="str">
        <f>'01 Product Master'!A454</f>
        <v>SN-0453</v>
      </c>
      <c r="B454" s="1">
        <f>'01 Product Master'!C454</f>
        <v>0</v>
      </c>
      <c r="C454" s="1">
        <f>'01 Product Master'!E454</f>
        <v>0</v>
      </c>
      <c r="D454" s="7">
        <f>'01 Product Master'!G454</f>
        <v>0</v>
      </c>
      <c r="E454" s="7">
        <f>'01 Product Master'!H454</f>
        <v>0</v>
      </c>
      <c r="F454" s="7">
        <f>'01 Product Master'!I454</f>
        <v>0</v>
      </c>
      <c r="G454" s="7" t="str">
        <f>'01 Product Master'!J454</f>
        <v/>
      </c>
      <c r="H454" s="7" t="str">
        <f>'01 Product Master'!K454</f>
        <v/>
      </c>
      <c r="I454" s="1"/>
    </row>
    <row r="455" spans="1:9" ht="16" x14ac:dyDescent="0.2">
      <c r="A455" s="1" t="str">
        <f>'01 Product Master'!A455</f>
        <v>SN-0454</v>
      </c>
      <c r="B455" s="1">
        <f>'01 Product Master'!C455</f>
        <v>0</v>
      </c>
      <c r="C455" s="1">
        <f>'01 Product Master'!E455</f>
        <v>0</v>
      </c>
      <c r="D455" s="7">
        <f>'01 Product Master'!G455</f>
        <v>0</v>
      </c>
      <c r="E455" s="7">
        <f>'01 Product Master'!H455</f>
        <v>0</v>
      </c>
      <c r="F455" s="7">
        <f>'01 Product Master'!I455</f>
        <v>0</v>
      </c>
      <c r="G455" s="7" t="str">
        <f>'01 Product Master'!J455</f>
        <v/>
      </c>
      <c r="H455" s="7" t="str">
        <f>'01 Product Master'!K455</f>
        <v/>
      </c>
      <c r="I455" s="1"/>
    </row>
    <row r="456" spans="1:9" ht="16" x14ac:dyDescent="0.2">
      <c r="A456" s="1" t="str">
        <f>'01 Product Master'!A456</f>
        <v>SN-0455</v>
      </c>
      <c r="B456" s="1">
        <f>'01 Product Master'!C456</f>
        <v>0</v>
      </c>
      <c r="C456" s="1">
        <f>'01 Product Master'!E456</f>
        <v>0</v>
      </c>
      <c r="D456" s="7">
        <f>'01 Product Master'!G456</f>
        <v>0</v>
      </c>
      <c r="E456" s="7">
        <f>'01 Product Master'!H456</f>
        <v>0</v>
      </c>
      <c r="F456" s="7">
        <f>'01 Product Master'!I456</f>
        <v>0</v>
      </c>
      <c r="G456" s="7" t="str">
        <f>'01 Product Master'!J456</f>
        <v/>
      </c>
      <c r="H456" s="7" t="str">
        <f>'01 Product Master'!K456</f>
        <v/>
      </c>
      <c r="I456" s="1"/>
    </row>
    <row r="457" spans="1:9" ht="16" x14ac:dyDescent="0.2">
      <c r="A457" s="1" t="str">
        <f>'01 Product Master'!A457</f>
        <v>SN-0456</v>
      </c>
      <c r="B457" s="1">
        <f>'01 Product Master'!C457</f>
        <v>0</v>
      </c>
      <c r="C457" s="1">
        <f>'01 Product Master'!E457</f>
        <v>0</v>
      </c>
      <c r="D457" s="7">
        <f>'01 Product Master'!G457</f>
        <v>0</v>
      </c>
      <c r="E457" s="7">
        <f>'01 Product Master'!H457</f>
        <v>0</v>
      </c>
      <c r="F457" s="7">
        <f>'01 Product Master'!I457</f>
        <v>0</v>
      </c>
      <c r="G457" s="7" t="str">
        <f>'01 Product Master'!J457</f>
        <v/>
      </c>
      <c r="H457" s="7" t="str">
        <f>'01 Product Master'!K457</f>
        <v/>
      </c>
      <c r="I457" s="1"/>
    </row>
    <row r="458" spans="1:9" ht="16" x14ac:dyDescent="0.2">
      <c r="A458" s="1" t="str">
        <f>'01 Product Master'!A458</f>
        <v>SN-0457</v>
      </c>
      <c r="B458" s="1">
        <f>'01 Product Master'!C458</f>
        <v>0</v>
      </c>
      <c r="C458" s="1">
        <f>'01 Product Master'!E458</f>
        <v>0</v>
      </c>
      <c r="D458" s="7">
        <f>'01 Product Master'!G458</f>
        <v>0</v>
      </c>
      <c r="E458" s="7">
        <f>'01 Product Master'!H458</f>
        <v>0</v>
      </c>
      <c r="F458" s="7">
        <f>'01 Product Master'!I458</f>
        <v>0</v>
      </c>
      <c r="G458" s="7" t="str">
        <f>'01 Product Master'!J458</f>
        <v/>
      </c>
      <c r="H458" s="7" t="str">
        <f>'01 Product Master'!K458</f>
        <v/>
      </c>
      <c r="I458" s="1"/>
    </row>
    <row r="459" spans="1:9" ht="16" x14ac:dyDescent="0.2">
      <c r="A459" s="1" t="str">
        <f>'01 Product Master'!A459</f>
        <v>SN-0458</v>
      </c>
      <c r="B459" s="1">
        <f>'01 Product Master'!C459</f>
        <v>0</v>
      </c>
      <c r="C459" s="1">
        <f>'01 Product Master'!E459</f>
        <v>0</v>
      </c>
      <c r="D459" s="7">
        <f>'01 Product Master'!G459</f>
        <v>0</v>
      </c>
      <c r="E459" s="7">
        <f>'01 Product Master'!H459</f>
        <v>0</v>
      </c>
      <c r="F459" s="7">
        <f>'01 Product Master'!I459</f>
        <v>0</v>
      </c>
      <c r="G459" s="7" t="str">
        <f>'01 Product Master'!J459</f>
        <v/>
      </c>
      <c r="H459" s="7" t="str">
        <f>'01 Product Master'!K459</f>
        <v/>
      </c>
      <c r="I459" s="1"/>
    </row>
    <row r="460" spans="1:9" ht="16" x14ac:dyDescent="0.2">
      <c r="A460" s="1" t="str">
        <f>'01 Product Master'!A460</f>
        <v>SN-0459</v>
      </c>
      <c r="B460" s="1">
        <f>'01 Product Master'!C460</f>
        <v>0</v>
      </c>
      <c r="C460" s="1">
        <f>'01 Product Master'!E460</f>
        <v>0</v>
      </c>
      <c r="D460" s="7">
        <f>'01 Product Master'!G460</f>
        <v>0</v>
      </c>
      <c r="E460" s="7">
        <f>'01 Product Master'!H460</f>
        <v>0</v>
      </c>
      <c r="F460" s="7">
        <f>'01 Product Master'!I460</f>
        <v>0</v>
      </c>
      <c r="G460" s="7" t="str">
        <f>'01 Product Master'!J460</f>
        <v/>
      </c>
      <c r="H460" s="7" t="str">
        <f>'01 Product Master'!K460</f>
        <v/>
      </c>
      <c r="I460" s="1"/>
    </row>
    <row r="461" spans="1:9" ht="16" x14ac:dyDescent="0.2">
      <c r="A461" s="1" t="str">
        <f>'01 Product Master'!A461</f>
        <v>SN-0460</v>
      </c>
      <c r="B461" s="1">
        <f>'01 Product Master'!C461</f>
        <v>0</v>
      </c>
      <c r="C461" s="1">
        <f>'01 Product Master'!E461</f>
        <v>0</v>
      </c>
      <c r="D461" s="7">
        <f>'01 Product Master'!G461</f>
        <v>0</v>
      </c>
      <c r="E461" s="7">
        <f>'01 Product Master'!H461</f>
        <v>0</v>
      </c>
      <c r="F461" s="7">
        <f>'01 Product Master'!I461</f>
        <v>0</v>
      </c>
      <c r="G461" s="7" t="str">
        <f>'01 Product Master'!J461</f>
        <v/>
      </c>
      <c r="H461" s="7" t="str">
        <f>'01 Product Master'!K461</f>
        <v/>
      </c>
      <c r="I461" s="1"/>
    </row>
    <row r="462" spans="1:9" ht="16" x14ac:dyDescent="0.2">
      <c r="A462" s="1" t="str">
        <f>'01 Product Master'!A462</f>
        <v>SN-0461</v>
      </c>
      <c r="B462" s="1">
        <f>'01 Product Master'!C462</f>
        <v>0</v>
      </c>
      <c r="C462" s="1">
        <f>'01 Product Master'!E462</f>
        <v>0</v>
      </c>
      <c r="D462" s="7">
        <f>'01 Product Master'!G462</f>
        <v>0</v>
      </c>
      <c r="E462" s="7">
        <f>'01 Product Master'!H462</f>
        <v>0</v>
      </c>
      <c r="F462" s="7">
        <f>'01 Product Master'!I462</f>
        <v>0</v>
      </c>
      <c r="G462" s="7" t="str">
        <f>'01 Product Master'!J462</f>
        <v/>
      </c>
      <c r="H462" s="7" t="str">
        <f>'01 Product Master'!K462</f>
        <v/>
      </c>
      <c r="I462" s="1"/>
    </row>
    <row r="463" spans="1:9" ht="16" x14ac:dyDescent="0.2">
      <c r="A463" s="1" t="str">
        <f>'01 Product Master'!A463</f>
        <v>SN-0462</v>
      </c>
      <c r="B463" s="1">
        <f>'01 Product Master'!C463</f>
        <v>0</v>
      </c>
      <c r="C463" s="1">
        <f>'01 Product Master'!E463</f>
        <v>0</v>
      </c>
      <c r="D463" s="7">
        <f>'01 Product Master'!G463</f>
        <v>0</v>
      </c>
      <c r="E463" s="7">
        <f>'01 Product Master'!H463</f>
        <v>0</v>
      </c>
      <c r="F463" s="7">
        <f>'01 Product Master'!I463</f>
        <v>0</v>
      </c>
      <c r="G463" s="7" t="str">
        <f>'01 Product Master'!J463</f>
        <v/>
      </c>
      <c r="H463" s="7" t="str">
        <f>'01 Product Master'!K463</f>
        <v/>
      </c>
      <c r="I463" s="1"/>
    </row>
    <row r="464" spans="1:9" ht="16" x14ac:dyDescent="0.2">
      <c r="A464" s="1" t="str">
        <f>'01 Product Master'!A464</f>
        <v>SN-0463</v>
      </c>
      <c r="B464" s="1">
        <f>'01 Product Master'!C464</f>
        <v>0</v>
      </c>
      <c r="C464" s="1">
        <f>'01 Product Master'!E464</f>
        <v>0</v>
      </c>
      <c r="D464" s="7">
        <f>'01 Product Master'!G464</f>
        <v>0</v>
      </c>
      <c r="E464" s="7">
        <f>'01 Product Master'!H464</f>
        <v>0</v>
      </c>
      <c r="F464" s="7">
        <f>'01 Product Master'!I464</f>
        <v>0</v>
      </c>
      <c r="G464" s="7" t="str">
        <f>'01 Product Master'!J464</f>
        <v/>
      </c>
      <c r="H464" s="7" t="str">
        <f>'01 Product Master'!K464</f>
        <v/>
      </c>
      <c r="I464" s="1"/>
    </row>
    <row r="465" spans="1:9" ht="16" x14ac:dyDescent="0.2">
      <c r="A465" s="1" t="str">
        <f>'01 Product Master'!A465</f>
        <v>SN-0464</v>
      </c>
      <c r="B465" s="1">
        <f>'01 Product Master'!C465</f>
        <v>0</v>
      </c>
      <c r="C465" s="1">
        <f>'01 Product Master'!E465</f>
        <v>0</v>
      </c>
      <c r="D465" s="7">
        <f>'01 Product Master'!G465</f>
        <v>0</v>
      </c>
      <c r="E465" s="7">
        <f>'01 Product Master'!H465</f>
        <v>0</v>
      </c>
      <c r="F465" s="7">
        <f>'01 Product Master'!I465</f>
        <v>0</v>
      </c>
      <c r="G465" s="7" t="str">
        <f>'01 Product Master'!J465</f>
        <v/>
      </c>
      <c r="H465" s="7" t="str">
        <f>'01 Product Master'!K465</f>
        <v/>
      </c>
      <c r="I465" s="1"/>
    </row>
    <row r="466" spans="1:9" ht="16" x14ac:dyDescent="0.2">
      <c r="A466" s="1" t="str">
        <f>'01 Product Master'!A466</f>
        <v>SN-0465</v>
      </c>
      <c r="B466" s="1">
        <f>'01 Product Master'!C466</f>
        <v>0</v>
      </c>
      <c r="C466" s="1">
        <f>'01 Product Master'!E466</f>
        <v>0</v>
      </c>
      <c r="D466" s="7">
        <f>'01 Product Master'!G466</f>
        <v>0</v>
      </c>
      <c r="E466" s="7">
        <f>'01 Product Master'!H466</f>
        <v>0</v>
      </c>
      <c r="F466" s="7">
        <f>'01 Product Master'!I466</f>
        <v>0</v>
      </c>
      <c r="G466" s="7" t="str">
        <f>'01 Product Master'!J466</f>
        <v/>
      </c>
      <c r="H466" s="7" t="str">
        <f>'01 Product Master'!K466</f>
        <v/>
      </c>
      <c r="I466" s="1"/>
    </row>
    <row r="467" spans="1:9" ht="16" x14ac:dyDescent="0.2">
      <c r="A467" s="1" t="str">
        <f>'01 Product Master'!A467</f>
        <v>SN-0466</v>
      </c>
      <c r="B467" s="1">
        <f>'01 Product Master'!C467</f>
        <v>0</v>
      </c>
      <c r="C467" s="1">
        <f>'01 Product Master'!E467</f>
        <v>0</v>
      </c>
      <c r="D467" s="7">
        <f>'01 Product Master'!G467</f>
        <v>0</v>
      </c>
      <c r="E467" s="7">
        <f>'01 Product Master'!H467</f>
        <v>0</v>
      </c>
      <c r="F467" s="7">
        <f>'01 Product Master'!I467</f>
        <v>0</v>
      </c>
      <c r="G467" s="7" t="str">
        <f>'01 Product Master'!J467</f>
        <v/>
      </c>
      <c r="H467" s="7" t="str">
        <f>'01 Product Master'!K467</f>
        <v/>
      </c>
      <c r="I467" s="1"/>
    </row>
    <row r="468" spans="1:9" ht="16" x14ac:dyDescent="0.2">
      <c r="A468" s="1" t="str">
        <f>'01 Product Master'!A468</f>
        <v>SN-0467</v>
      </c>
      <c r="B468" s="1">
        <f>'01 Product Master'!C468</f>
        <v>0</v>
      </c>
      <c r="C468" s="1">
        <f>'01 Product Master'!E468</f>
        <v>0</v>
      </c>
      <c r="D468" s="7">
        <f>'01 Product Master'!G468</f>
        <v>0</v>
      </c>
      <c r="E468" s="7">
        <f>'01 Product Master'!H468</f>
        <v>0</v>
      </c>
      <c r="F468" s="7">
        <f>'01 Product Master'!I468</f>
        <v>0</v>
      </c>
      <c r="G468" s="7" t="str">
        <f>'01 Product Master'!J468</f>
        <v/>
      </c>
      <c r="H468" s="7" t="str">
        <f>'01 Product Master'!K468</f>
        <v/>
      </c>
      <c r="I468" s="1"/>
    </row>
    <row r="469" spans="1:9" ht="16" x14ac:dyDescent="0.2">
      <c r="A469" s="1" t="str">
        <f>'01 Product Master'!A469</f>
        <v>SN-0468</v>
      </c>
      <c r="B469" s="1">
        <f>'01 Product Master'!C469</f>
        <v>0</v>
      </c>
      <c r="C469" s="1">
        <f>'01 Product Master'!E469</f>
        <v>0</v>
      </c>
      <c r="D469" s="7">
        <f>'01 Product Master'!G469</f>
        <v>0</v>
      </c>
      <c r="E469" s="7">
        <f>'01 Product Master'!H469</f>
        <v>0</v>
      </c>
      <c r="F469" s="7">
        <f>'01 Product Master'!I469</f>
        <v>0</v>
      </c>
      <c r="G469" s="7" t="str">
        <f>'01 Product Master'!J469</f>
        <v/>
      </c>
      <c r="H469" s="7" t="str">
        <f>'01 Product Master'!K469</f>
        <v/>
      </c>
      <c r="I469" s="1"/>
    </row>
    <row r="470" spans="1:9" ht="16" x14ac:dyDescent="0.2">
      <c r="A470" s="1" t="str">
        <f>'01 Product Master'!A470</f>
        <v>SN-0469</v>
      </c>
      <c r="B470" s="1">
        <f>'01 Product Master'!C470</f>
        <v>0</v>
      </c>
      <c r="C470" s="1">
        <f>'01 Product Master'!E470</f>
        <v>0</v>
      </c>
      <c r="D470" s="7">
        <f>'01 Product Master'!G470</f>
        <v>0</v>
      </c>
      <c r="E470" s="7">
        <f>'01 Product Master'!H470</f>
        <v>0</v>
      </c>
      <c r="F470" s="7">
        <f>'01 Product Master'!I470</f>
        <v>0</v>
      </c>
      <c r="G470" s="7" t="str">
        <f>'01 Product Master'!J470</f>
        <v/>
      </c>
      <c r="H470" s="7" t="str">
        <f>'01 Product Master'!K470</f>
        <v/>
      </c>
      <c r="I470" s="1"/>
    </row>
    <row r="471" spans="1:9" ht="16" x14ac:dyDescent="0.2">
      <c r="A471" s="1" t="str">
        <f>'01 Product Master'!A471</f>
        <v>SN-0470</v>
      </c>
      <c r="B471" s="1">
        <f>'01 Product Master'!C471</f>
        <v>0</v>
      </c>
      <c r="C471" s="1">
        <f>'01 Product Master'!E471</f>
        <v>0</v>
      </c>
      <c r="D471" s="7">
        <f>'01 Product Master'!G471</f>
        <v>0</v>
      </c>
      <c r="E471" s="7">
        <f>'01 Product Master'!H471</f>
        <v>0</v>
      </c>
      <c r="F471" s="7">
        <f>'01 Product Master'!I471</f>
        <v>0</v>
      </c>
      <c r="G471" s="7" t="str">
        <f>'01 Product Master'!J471</f>
        <v/>
      </c>
      <c r="H471" s="7" t="str">
        <f>'01 Product Master'!K471</f>
        <v/>
      </c>
      <c r="I471" s="1"/>
    </row>
    <row r="472" spans="1:9" ht="16" x14ac:dyDescent="0.2">
      <c r="A472" s="1" t="str">
        <f>'01 Product Master'!A472</f>
        <v>SN-0471</v>
      </c>
      <c r="B472" s="1">
        <f>'01 Product Master'!C472</f>
        <v>0</v>
      </c>
      <c r="C472" s="1">
        <f>'01 Product Master'!E472</f>
        <v>0</v>
      </c>
      <c r="D472" s="7">
        <f>'01 Product Master'!G472</f>
        <v>0</v>
      </c>
      <c r="E472" s="7">
        <f>'01 Product Master'!H472</f>
        <v>0</v>
      </c>
      <c r="F472" s="7">
        <f>'01 Product Master'!I472</f>
        <v>0</v>
      </c>
      <c r="G472" s="7" t="str">
        <f>'01 Product Master'!J472</f>
        <v/>
      </c>
      <c r="H472" s="7" t="str">
        <f>'01 Product Master'!K472</f>
        <v/>
      </c>
      <c r="I472" s="1"/>
    </row>
    <row r="473" spans="1:9" ht="16" x14ac:dyDescent="0.2">
      <c r="A473" s="1" t="str">
        <f>'01 Product Master'!A473</f>
        <v>SN-0472</v>
      </c>
      <c r="B473" s="1">
        <f>'01 Product Master'!C473</f>
        <v>0</v>
      </c>
      <c r="C473" s="1">
        <f>'01 Product Master'!E473</f>
        <v>0</v>
      </c>
      <c r="D473" s="7">
        <f>'01 Product Master'!G473</f>
        <v>0</v>
      </c>
      <c r="E473" s="7">
        <f>'01 Product Master'!H473</f>
        <v>0</v>
      </c>
      <c r="F473" s="7">
        <f>'01 Product Master'!I473</f>
        <v>0</v>
      </c>
      <c r="G473" s="7" t="str">
        <f>'01 Product Master'!J473</f>
        <v/>
      </c>
      <c r="H473" s="7" t="str">
        <f>'01 Product Master'!K473</f>
        <v/>
      </c>
      <c r="I473" s="1"/>
    </row>
    <row r="474" spans="1:9" ht="16" x14ac:dyDescent="0.2">
      <c r="A474" s="1" t="str">
        <f>'01 Product Master'!A474</f>
        <v>SN-0473</v>
      </c>
      <c r="B474" s="1">
        <f>'01 Product Master'!C474</f>
        <v>0</v>
      </c>
      <c r="C474" s="1">
        <f>'01 Product Master'!E474</f>
        <v>0</v>
      </c>
      <c r="D474" s="7">
        <f>'01 Product Master'!G474</f>
        <v>0</v>
      </c>
      <c r="E474" s="7">
        <f>'01 Product Master'!H474</f>
        <v>0</v>
      </c>
      <c r="F474" s="7">
        <f>'01 Product Master'!I474</f>
        <v>0</v>
      </c>
      <c r="G474" s="7" t="str">
        <f>'01 Product Master'!J474</f>
        <v/>
      </c>
      <c r="H474" s="7" t="str">
        <f>'01 Product Master'!K474</f>
        <v/>
      </c>
      <c r="I474" s="1"/>
    </row>
    <row r="475" spans="1:9" ht="16" x14ac:dyDescent="0.2">
      <c r="A475" s="1" t="str">
        <f>'01 Product Master'!A475</f>
        <v>SN-0474</v>
      </c>
      <c r="B475" s="1">
        <f>'01 Product Master'!C475</f>
        <v>0</v>
      </c>
      <c r="C475" s="1">
        <f>'01 Product Master'!E475</f>
        <v>0</v>
      </c>
      <c r="D475" s="7">
        <f>'01 Product Master'!G475</f>
        <v>0</v>
      </c>
      <c r="E475" s="7">
        <f>'01 Product Master'!H475</f>
        <v>0</v>
      </c>
      <c r="F475" s="7">
        <f>'01 Product Master'!I475</f>
        <v>0</v>
      </c>
      <c r="G475" s="7" t="str">
        <f>'01 Product Master'!J475</f>
        <v/>
      </c>
      <c r="H475" s="7" t="str">
        <f>'01 Product Master'!K475</f>
        <v/>
      </c>
      <c r="I475" s="1"/>
    </row>
    <row r="476" spans="1:9" ht="16" x14ac:dyDescent="0.2">
      <c r="A476" s="1" t="str">
        <f>'01 Product Master'!A476</f>
        <v>SN-0475</v>
      </c>
      <c r="B476" s="1">
        <f>'01 Product Master'!C476</f>
        <v>0</v>
      </c>
      <c r="C476" s="1">
        <f>'01 Product Master'!E476</f>
        <v>0</v>
      </c>
      <c r="D476" s="7">
        <f>'01 Product Master'!G476</f>
        <v>0</v>
      </c>
      <c r="E476" s="7">
        <f>'01 Product Master'!H476</f>
        <v>0</v>
      </c>
      <c r="F476" s="7">
        <f>'01 Product Master'!I476</f>
        <v>0</v>
      </c>
      <c r="G476" s="7" t="str">
        <f>'01 Product Master'!J476</f>
        <v/>
      </c>
      <c r="H476" s="7" t="str">
        <f>'01 Product Master'!K476</f>
        <v/>
      </c>
      <c r="I476" s="1"/>
    </row>
    <row r="477" spans="1:9" ht="16" x14ac:dyDescent="0.2">
      <c r="A477" s="1" t="str">
        <f>'01 Product Master'!A477</f>
        <v>SN-0476</v>
      </c>
      <c r="B477" s="1">
        <f>'01 Product Master'!C477</f>
        <v>0</v>
      </c>
      <c r="C477" s="1">
        <f>'01 Product Master'!E477</f>
        <v>0</v>
      </c>
      <c r="D477" s="7">
        <f>'01 Product Master'!G477</f>
        <v>0</v>
      </c>
      <c r="E477" s="7">
        <f>'01 Product Master'!H477</f>
        <v>0</v>
      </c>
      <c r="F477" s="7">
        <f>'01 Product Master'!I477</f>
        <v>0</v>
      </c>
      <c r="G477" s="7" t="str">
        <f>'01 Product Master'!J477</f>
        <v/>
      </c>
      <c r="H477" s="7" t="str">
        <f>'01 Product Master'!K477</f>
        <v/>
      </c>
      <c r="I477" s="1"/>
    </row>
    <row r="478" spans="1:9" ht="16" x14ac:dyDescent="0.2">
      <c r="A478" s="1" t="str">
        <f>'01 Product Master'!A478</f>
        <v>SN-0477</v>
      </c>
      <c r="B478" s="1">
        <f>'01 Product Master'!C478</f>
        <v>0</v>
      </c>
      <c r="C478" s="1">
        <f>'01 Product Master'!E478</f>
        <v>0</v>
      </c>
      <c r="D478" s="7">
        <f>'01 Product Master'!G478</f>
        <v>0</v>
      </c>
      <c r="E478" s="7">
        <f>'01 Product Master'!H478</f>
        <v>0</v>
      </c>
      <c r="F478" s="7">
        <f>'01 Product Master'!I478</f>
        <v>0</v>
      </c>
      <c r="G478" s="7" t="str">
        <f>'01 Product Master'!J478</f>
        <v/>
      </c>
      <c r="H478" s="7" t="str">
        <f>'01 Product Master'!K478</f>
        <v/>
      </c>
      <c r="I478" s="1"/>
    </row>
    <row r="479" spans="1:9" ht="16" x14ac:dyDescent="0.2">
      <c r="A479" s="1" t="str">
        <f>'01 Product Master'!A479</f>
        <v>SN-0478</v>
      </c>
      <c r="B479" s="1">
        <f>'01 Product Master'!C479</f>
        <v>0</v>
      </c>
      <c r="C479" s="1">
        <f>'01 Product Master'!E479</f>
        <v>0</v>
      </c>
      <c r="D479" s="7">
        <f>'01 Product Master'!G479</f>
        <v>0</v>
      </c>
      <c r="E479" s="7">
        <f>'01 Product Master'!H479</f>
        <v>0</v>
      </c>
      <c r="F479" s="7">
        <f>'01 Product Master'!I479</f>
        <v>0</v>
      </c>
      <c r="G479" s="7" t="str">
        <f>'01 Product Master'!J479</f>
        <v/>
      </c>
      <c r="H479" s="7" t="str">
        <f>'01 Product Master'!K479</f>
        <v/>
      </c>
      <c r="I479" s="1"/>
    </row>
    <row r="480" spans="1:9" ht="16" x14ac:dyDescent="0.2">
      <c r="A480" s="1" t="str">
        <f>'01 Product Master'!A480</f>
        <v>SN-0479</v>
      </c>
      <c r="B480" s="1">
        <f>'01 Product Master'!C480</f>
        <v>0</v>
      </c>
      <c r="C480" s="1">
        <f>'01 Product Master'!E480</f>
        <v>0</v>
      </c>
      <c r="D480" s="7">
        <f>'01 Product Master'!G480</f>
        <v>0</v>
      </c>
      <c r="E480" s="7">
        <f>'01 Product Master'!H480</f>
        <v>0</v>
      </c>
      <c r="F480" s="7">
        <f>'01 Product Master'!I480</f>
        <v>0</v>
      </c>
      <c r="G480" s="7" t="str">
        <f>'01 Product Master'!J480</f>
        <v/>
      </c>
      <c r="H480" s="7" t="str">
        <f>'01 Product Master'!K480</f>
        <v/>
      </c>
      <c r="I480" s="1"/>
    </row>
    <row r="481" spans="1:9" ht="16" x14ac:dyDescent="0.2">
      <c r="A481" s="1" t="str">
        <f>'01 Product Master'!A481</f>
        <v>SN-0480</v>
      </c>
      <c r="B481" s="1">
        <f>'01 Product Master'!C481</f>
        <v>0</v>
      </c>
      <c r="C481" s="1">
        <f>'01 Product Master'!E481</f>
        <v>0</v>
      </c>
      <c r="D481" s="7">
        <f>'01 Product Master'!G481</f>
        <v>0</v>
      </c>
      <c r="E481" s="7">
        <f>'01 Product Master'!H481</f>
        <v>0</v>
      </c>
      <c r="F481" s="7">
        <f>'01 Product Master'!I481</f>
        <v>0</v>
      </c>
      <c r="G481" s="7" t="str">
        <f>'01 Product Master'!J481</f>
        <v/>
      </c>
      <c r="H481" s="7" t="str">
        <f>'01 Product Master'!K481</f>
        <v/>
      </c>
      <c r="I481" s="1"/>
    </row>
    <row r="482" spans="1:9" ht="16" x14ac:dyDescent="0.2">
      <c r="A482" s="1" t="str">
        <f>'01 Product Master'!A482</f>
        <v>SN-0481</v>
      </c>
      <c r="B482" s="1">
        <f>'01 Product Master'!C482</f>
        <v>0</v>
      </c>
      <c r="C482" s="1">
        <f>'01 Product Master'!E482</f>
        <v>0</v>
      </c>
      <c r="D482" s="7">
        <f>'01 Product Master'!G482</f>
        <v>0</v>
      </c>
      <c r="E482" s="7">
        <f>'01 Product Master'!H482</f>
        <v>0</v>
      </c>
      <c r="F482" s="7">
        <f>'01 Product Master'!I482</f>
        <v>0</v>
      </c>
      <c r="G482" s="7" t="str">
        <f>'01 Product Master'!J482</f>
        <v/>
      </c>
      <c r="H482" s="7" t="str">
        <f>'01 Product Master'!K482</f>
        <v/>
      </c>
      <c r="I482" s="1"/>
    </row>
    <row r="483" spans="1:9" ht="16" x14ac:dyDescent="0.2">
      <c r="A483" s="1" t="str">
        <f>'01 Product Master'!A483</f>
        <v>SN-0482</v>
      </c>
      <c r="B483" s="1">
        <f>'01 Product Master'!C483</f>
        <v>0</v>
      </c>
      <c r="C483" s="1">
        <f>'01 Product Master'!E483</f>
        <v>0</v>
      </c>
      <c r="D483" s="7">
        <f>'01 Product Master'!G483</f>
        <v>0</v>
      </c>
      <c r="E483" s="7">
        <f>'01 Product Master'!H483</f>
        <v>0</v>
      </c>
      <c r="F483" s="7">
        <f>'01 Product Master'!I483</f>
        <v>0</v>
      </c>
      <c r="G483" s="7" t="str">
        <f>'01 Product Master'!J483</f>
        <v/>
      </c>
      <c r="H483" s="7" t="str">
        <f>'01 Product Master'!K483</f>
        <v/>
      </c>
      <c r="I483" s="1"/>
    </row>
    <row r="484" spans="1:9" ht="16" x14ac:dyDescent="0.2">
      <c r="A484" s="1" t="str">
        <f>'01 Product Master'!A484</f>
        <v>SN-0483</v>
      </c>
      <c r="B484" s="1">
        <f>'01 Product Master'!C484</f>
        <v>0</v>
      </c>
      <c r="C484" s="1">
        <f>'01 Product Master'!E484</f>
        <v>0</v>
      </c>
      <c r="D484" s="7">
        <f>'01 Product Master'!G484</f>
        <v>0</v>
      </c>
      <c r="E484" s="7">
        <f>'01 Product Master'!H484</f>
        <v>0</v>
      </c>
      <c r="F484" s="7">
        <f>'01 Product Master'!I484</f>
        <v>0</v>
      </c>
      <c r="G484" s="7" t="str">
        <f>'01 Product Master'!J484</f>
        <v/>
      </c>
      <c r="H484" s="7" t="str">
        <f>'01 Product Master'!K484</f>
        <v/>
      </c>
      <c r="I484" s="1"/>
    </row>
    <row r="485" spans="1:9" ht="16" x14ac:dyDescent="0.2">
      <c r="A485" s="1" t="str">
        <f>'01 Product Master'!A485</f>
        <v>SN-0484</v>
      </c>
      <c r="B485" s="1">
        <f>'01 Product Master'!C485</f>
        <v>0</v>
      </c>
      <c r="C485" s="1">
        <f>'01 Product Master'!E485</f>
        <v>0</v>
      </c>
      <c r="D485" s="7">
        <f>'01 Product Master'!G485</f>
        <v>0</v>
      </c>
      <c r="E485" s="7">
        <f>'01 Product Master'!H485</f>
        <v>0</v>
      </c>
      <c r="F485" s="7">
        <f>'01 Product Master'!I485</f>
        <v>0</v>
      </c>
      <c r="G485" s="7" t="str">
        <f>'01 Product Master'!J485</f>
        <v/>
      </c>
      <c r="H485" s="7" t="str">
        <f>'01 Product Master'!K485</f>
        <v/>
      </c>
      <c r="I485" s="1"/>
    </row>
    <row r="486" spans="1:9" ht="16" x14ac:dyDescent="0.2">
      <c r="A486" s="1" t="str">
        <f>'01 Product Master'!A486</f>
        <v>SN-0485</v>
      </c>
      <c r="B486" s="1">
        <f>'01 Product Master'!C486</f>
        <v>0</v>
      </c>
      <c r="C486" s="1">
        <f>'01 Product Master'!E486</f>
        <v>0</v>
      </c>
      <c r="D486" s="7">
        <f>'01 Product Master'!G486</f>
        <v>0</v>
      </c>
      <c r="E486" s="7">
        <f>'01 Product Master'!H486</f>
        <v>0</v>
      </c>
      <c r="F486" s="7">
        <f>'01 Product Master'!I486</f>
        <v>0</v>
      </c>
      <c r="G486" s="7" t="str">
        <f>'01 Product Master'!J486</f>
        <v/>
      </c>
      <c r="H486" s="7" t="str">
        <f>'01 Product Master'!K486</f>
        <v/>
      </c>
      <c r="I486" s="1"/>
    </row>
    <row r="487" spans="1:9" ht="16" x14ac:dyDescent="0.2">
      <c r="A487" s="1" t="str">
        <f>'01 Product Master'!A487</f>
        <v>SN-0486</v>
      </c>
      <c r="B487" s="1">
        <f>'01 Product Master'!C487</f>
        <v>0</v>
      </c>
      <c r="C487" s="1">
        <f>'01 Product Master'!E487</f>
        <v>0</v>
      </c>
      <c r="D487" s="7">
        <f>'01 Product Master'!G487</f>
        <v>0</v>
      </c>
      <c r="E487" s="7">
        <f>'01 Product Master'!H487</f>
        <v>0</v>
      </c>
      <c r="F487" s="7">
        <f>'01 Product Master'!I487</f>
        <v>0</v>
      </c>
      <c r="G487" s="7" t="str">
        <f>'01 Product Master'!J487</f>
        <v/>
      </c>
      <c r="H487" s="7" t="str">
        <f>'01 Product Master'!K487</f>
        <v/>
      </c>
      <c r="I487" s="1"/>
    </row>
    <row r="488" spans="1:9" ht="16" x14ac:dyDescent="0.2">
      <c r="A488" s="1" t="str">
        <f>'01 Product Master'!A488</f>
        <v>SN-0487</v>
      </c>
      <c r="B488" s="1">
        <f>'01 Product Master'!C488</f>
        <v>0</v>
      </c>
      <c r="C488" s="1">
        <f>'01 Product Master'!E488</f>
        <v>0</v>
      </c>
      <c r="D488" s="7">
        <f>'01 Product Master'!G488</f>
        <v>0</v>
      </c>
      <c r="E488" s="7">
        <f>'01 Product Master'!H488</f>
        <v>0</v>
      </c>
      <c r="F488" s="7">
        <f>'01 Product Master'!I488</f>
        <v>0</v>
      </c>
      <c r="G488" s="7" t="str">
        <f>'01 Product Master'!J488</f>
        <v/>
      </c>
      <c r="H488" s="7" t="str">
        <f>'01 Product Master'!K488</f>
        <v/>
      </c>
      <c r="I488" s="1"/>
    </row>
    <row r="489" spans="1:9" ht="16" x14ac:dyDescent="0.2">
      <c r="A489" s="1" t="str">
        <f>'01 Product Master'!A489</f>
        <v>SN-0488</v>
      </c>
      <c r="B489" s="1">
        <f>'01 Product Master'!C489</f>
        <v>0</v>
      </c>
      <c r="C489" s="1">
        <f>'01 Product Master'!E489</f>
        <v>0</v>
      </c>
      <c r="D489" s="7">
        <f>'01 Product Master'!G489</f>
        <v>0</v>
      </c>
      <c r="E489" s="7">
        <f>'01 Product Master'!H489</f>
        <v>0</v>
      </c>
      <c r="F489" s="7">
        <f>'01 Product Master'!I489</f>
        <v>0</v>
      </c>
      <c r="G489" s="7" t="str">
        <f>'01 Product Master'!J489</f>
        <v/>
      </c>
      <c r="H489" s="7" t="str">
        <f>'01 Product Master'!K489</f>
        <v/>
      </c>
      <c r="I489" s="1"/>
    </row>
    <row r="490" spans="1:9" ht="16" x14ac:dyDescent="0.2">
      <c r="A490" s="1" t="str">
        <f>'01 Product Master'!A490</f>
        <v>SN-0489</v>
      </c>
      <c r="B490" s="1">
        <f>'01 Product Master'!C490</f>
        <v>0</v>
      </c>
      <c r="C490" s="1">
        <f>'01 Product Master'!E490</f>
        <v>0</v>
      </c>
      <c r="D490" s="7">
        <f>'01 Product Master'!G490</f>
        <v>0</v>
      </c>
      <c r="E490" s="7">
        <f>'01 Product Master'!H490</f>
        <v>0</v>
      </c>
      <c r="F490" s="7">
        <f>'01 Product Master'!I490</f>
        <v>0</v>
      </c>
      <c r="G490" s="7" t="str">
        <f>'01 Product Master'!J490</f>
        <v/>
      </c>
      <c r="H490" s="7" t="str">
        <f>'01 Product Master'!K490</f>
        <v/>
      </c>
      <c r="I490" s="1"/>
    </row>
    <row r="491" spans="1:9" ht="16" x14ac:dyDescent="0.2">
      <c r="A491" s="1" t="str">
        <f>'01 Product Master'!A491</f>
        <v>SN-0490</v>
      </c>
      <c r="B491" s="1">
        <f>'01 Product Master'!C491</f>
        <v>0</v>
      </c>
      <c r="C491" s="1">
        <f>'01 Product Master'!E491</f>
        <v>0</v>
      </c>
      <c r="D491" s="7">
        <f>'01 Product Master'!G491</f>
        <v>0</v>
      </c>
      <c r="E491" s="7">
        <f>'01 Product Master'!H491</f>
        <v>0</v>
      </c>
      <c r="F491" s="7">
        <f>'01 Product Master'!I491</f>
        <v>0</v>
      </c>
      <c r="G491" s="7" t="str">
        <f>'01 Product Master'!J491</f>
        <v/>
      </c>
      <c r="H491" s="7" t="str">
        <f>'01 Product Master'!K491</f>
        <v/>
      </c>
      <c r="I491" s="1"/>
    </row>
    <row r="492" spans="1:9" ht="16" x14ac:dyDescent="0.2">
      <c r="A492" s="1" t="str">
        <f>'01 Product Master'!A492</f>
        <v>SN-0491</v>
      </c>
      <c r="B492" s="1">
        <f>'01 Product Master'!C492</f>
        <v>0</v>
      </c>
      <c r="C492" s="1">
        <f>'01 Product Master'!E492</f>
        <v>0</v>
      </c>
      <c r="D492" s="7">
        <f>'01 Product Master'!G492</f>
        <v>0</v>
      </c>
      <c r="E492" s="7">
        <f>'01 Product Master'!H492</f>
        <v>0</v>
      </c>
      <c r="F492" s="7">
        <f>'01 Product Master'!I492</f>
        <v>0</v>
      </c>
      <c r="G492" s="7" t="str">
        <f>'01 Product Master'!J492</f>
        <v/>
      </c>
      <c r="H492" s="7" t="str">
        <f>'01 Product Master'!K492</f>
        <v/>
      </c>
      <c r="I492" s="1"/>
    </row>
    <row r="493" spans="1:9" ht="16" x14ac:dyDescent="0.2">
      <c r="A493" s="1" t="str">
        <f>'01 Product Master'!A493</f>
        <v>SN-0492</v>
      </c>
      <c r="B493" s="1">
        <f>'01 Product Master'!C493</f>
        <v>0</v>
      </c>
      <c r="C493" s="1">
        <f>'01 Product Master'!E493</f>
        <v>0</v>
      </c>
      <c r="D493" s="7">
        <f>'01 Product Master'!G493</f>
        <v>0</v>
      </c>
      <c r="E493" s="7">
        <f>'01 Product Master'!H493</f>
        <v>0</v>
      </c>
      <c r="F493" s="7">
        <f>'01 Product Master'!I493</f>
        <v>0</v>
      </c>
      <c r="G493" s="7" t="str">
        <f>'01 Product Master'!J493</f>
        <v/>
      </c>
      <c r="H493" s="7" t="str">
        <f>'01 Product Master'!K493</f>
        <v/>
      </c>
      <c r="I493" s="1"/>
    </row>
    <row r="494" spans="1:9" ht="16" x14ac:dyDescent="0.2">
      <c r="A494" s="1" t="str">
        <f>'01 Product Master'!A494</f>
        <v>SN-0493</v>
      </c>
      <c r="B494" s="1">
        <f>'01 Product Master'!C494</f>
        <v>0</v>
      </c>
      <c r="C494" s="1">
        <f>'01 Product Master'!E494</f>
        <v>0</v>
      </c>
      <c r="D494" s="7">
        <f>'01 Product Master'!G494</f>
        <v>0</v>
      </c>
      <c r="E494" s="7">
        <f>'01 Product Master'!H494</f>
        <v>0</v>
      </c>
      <c r="F494" s="7">
        <f>'01 Product Master'!I494</f>
        <v>0</v>
      </c>
      <c r="G494" s="7" t="str">
        <f>'01 Product Master'!J494</f>
        <v/>
      </c>
      <c r="H494" s="7" t="str">
        <f>'01 Product Master'!K494</f>
        <v/>
      </c>
      <c r="I494" s="1"/>
    </row>
    <row r="495" spans="1:9" ht="16" x14ac:dyDescent="0.2">
      <c r="A495" s="1" t="str">
        <f>'01 Product Master'!A495</f>
        <v>SN-0494</v>
      </c>
      <c r="B495" s="1">
        <f>'01 Product Master'!C495</f>
        <v>0</v>
      </c>
      <c r="C495" s="1">
        <f>'01 Product Master'!E495</f>
        <v>0</v>
      </c>
      <c r="D495" s="7">
        <f>'01 Product Master'!G495</f>
        <v>0</v>
      </c>
      <c r="E495" s="7">
        <f>'01 Product Master'!H495</f>
        <v>0</v>
      </c>
      <c r="F495" s="7">
        <f>'01 Product Master'!I495</f>
        <v>0</v>
      </c>
      <c r="G495" s="7" t="str">
        <f>'01 Product Master'!J495</f>
        <v/>
      </c>
      <c r="H495" s="7" t="str">
        <f>'01 Product Master'!K495</f>
        <v/>
      </c>
      <c r="I495" s="1"/>
    </row>
    <row r="496" spans="1:9" ht="16" x14ac:dyDescent="0.2">
      <c r="A496" s="1" t="str">
        <f>'01 Product Master'!A496</f>
        <v>SN-0495</v>
      </c>
      <c r="B496" s="1">
        <f>'01 Product Master'!C496</f>
        <v>0</v>
      </c>
      <c r="C496" s="1">
        <f>'01 Product Master'!E496</f>
        <v>0</v>
      </c>
      <c r="D496" s="7">
        <f>'01 Product Master'!G496</f>
        <v>0</v>
      </c>
      <c r="E496" s="7">
        <f>'01 Product Master'!H496</f>
        <v>0</v>
      </c>
      <c r="F496" s="7">
        <f>'01 Product Master'!I496</f>
        <v>0</v>
      </c>
      <c r="G496" s="7" t="str">
        <f>'01 Product Master'!J496</f>
        <v/>
      </c>
      <c r="H496" s="7" t="str">
        <f>'01 Product Master'!K496</f>
        <v/>
      </c>
      <c r="I496" s="1"/>
    </row>
    <row r="497" spans="1:9" ht="16" x14ac:dyDescent="0.2">
      <c r="A497" s="1" t="str">
        <f>'01 Product Master'!A497</f>
        <v>SN-0496</v>
      </c>
      <c r="B497" s="1">
        <f>'01 Product Master'!C497</f>
        <v>0</v>
      </c>
      <c r="C497" s="1">
        <f>'01 Product Master'!E497</f>
        <v>0</v>
      </c>
      <c r="D497" s="7">
        <f>'01 Product Master'!G497</f>
        <v>0</v>
      </c>
      <c r="E497" s="7">
        <f>'01 Product Master'!H497</f>
        <v>0</v>
      </c>
      <c r="F497" s="7">
        <f>'01 Product Master'!I497</f>
        <v>0</v>
      </c>
      <c r="G497" s="7" t="str">
        <f>'01 Product Master'!J497</f>
        <v/>
      </c>
      <c r="H497" s="7" t="str">
        <f>'01 Product Master'!K497</f>
        <v/>
      </c>
      <c r="I497" s="1"/>
    </row>
    <row r="498" spans="1:9" ht="16" x14ac:dyDescent="0.2">
      <c r="A498" s="1" t="str">
        <f>'01 Product Master'!A498</f>
        <v>SN-0497</v>
      </c>
      <c r="B498" s="1">
        <f>'01 Product Master'!C498</f>
        <v>0</v>
      </c>
      <c r="C498" s="1">
        <f>'01 Product Master'!E498</f>
        <v>0</v>
      </c>
      <c r="D498" s="7">
        <f>'01 Product Master'!G498</f>
        <v>0</v>
      </c>
      <c r="E498" s="7">
        <f>'01 Product Master'!H498</f>
        <v>0</v>
      </c>
      <c r="F498" s="7">
        <f>'01 Product Master'!I498</f>
        <v>0</v>
      </c>
      <c r="G498" s="7" t="str">
        <f>'01 Product Master'!J498</f>
        <v/>
      </c>
      <c r="H498" s="7" t="str">
        <f>'01 Product Master'!K498</f>
        <v/>
      </c>
      <c r="I498" s="1"/>
    </row>
    <row r="499" spans="1:9" ht="16" x14ac:dyDescent="0.2">
      <c r="A499" s="1" t="str">
        <f>'01 Product Master'!A499</f>
        <v>SN-0498</v>
      </c>
      <c r="B499" s="1">
        <f>'01 Product Master'!C499</f>
        <v>0</v>
      </c>
      <c r="C499" s="1">
        <f>'01 Product Master'!E499</f>
        <v>0</v>
      </c>
      <c r="D499" s="7">
        <f>'01 Product Master'!G499</f>
        <v>0</v>
      </c>
      <c r="E499" s="7">
        <f>'01 Product Master'!H499</f>
        <v>0</v>
      </c>
      <c r="F499" s="7">
        <f>'01 Product Master'!I499</f>
        <v>0</v>
      </c>
      <c r="G499" s="7" t="str">
        <f>'01 Product Master'!J499</f>
        <v/>
      </c>
      <c r="H499" s="7" t="str">
        <f>'01 Product Master'!K499</f>
        <v/>
      </c>
      <c r="I499" s="1"/>
    </row>
    <row r="500" spans="1:9" ht="16" x14ac:dyDescent="0.2">
      <c r="A500" s="1" t="str">
        <f>'01 Product Master'!A500</f>
        <v>SN-0499</v>
      </c>
      <c r="B500" s="1">
        <f>'01 Product Master'!C500</f>
        <v>0</v>
      </c>
      <c r="C500" s="1">
        <f>'01 Product Master'!E500</f>
        <v>0</v>
      </c>
      <c r="D500" s="7">
        <f>'01 Product Master'!G500</f>
        <v>0</v>
      </c>
      <c r="E500" s="7">
        <f>'01 Product Master'!H500</f>
        <v>0</v>
      </c>
      <c r="F500" s="7">
        <f>'01 Product Master'!I500</f>
        <v>0</v>
      </c>
      <c r="G500" s="7" t="str">
        <f>'01 Product Master'!J500</f>
        <v/>
      </c>
      <c r="H500" s="7" t="str">
        <f>'01 Product Master'!K500</f>
        <v/>
      </c>
      <c r="I500" s="1"/>
    </row>
  </sheetData>
  <autoFilter ref="A1:I500" xr:uid="{00000000-0009-0000-0000-000002000000}"/>
  <pageMargins left="0.25" right="0.25" top="0.5" bottom="0.5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0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1" customWidth="1"/>
    <col min="2" max="2" width="30" customWidth="1"/>
    <col min="3" max="8" width="18" customWidth="1"/>
    <col min="9" max="9" width="16" customWidth="1"/>
    <col min="10" max="10" width="14" customWidth="1"/>
    <col min="11" max="11" width="30" customWidth="1"/>
  </cols>
  <sheetData>
    <row r="1" spans="1:11" ht="16" x14ac:dyDescent="0.2">
      <c r="A1" s="11" t="s">
        <v>16</v>
      </c>
      <c r="B1" s="11" t="s">
        <v>18</v>
      </c>
      <c r="C1" s="11" t="s">
        <v>603</v>
      </c>
      <c r="D1" s="11" t="s">
        <v>604</v>
      </c>
      <c r="E1" s="11" t="s">
        <v>24</v>
      </c>
      <c r="F1" s="11" t="s">
        <v>25</v>
      </c>
      <c r="G1" s="11" t="s">
        <v>26</v>
      </c>
      <c r="H1" s="11" t="s">
        <v>27</v>
      </c>
      <c r="I1" s="11" t="s">
        <v>28</v>
      </c>
      <c r="J1" s="11" t="s">
        <v>29</v>
      </c>
      <c r="K1" s="11" t="s">
        <v>14</v>
      </c>
    </row>
    <row r="2" spans="1:11" ht="16" x14ac:dyDescent="0.2">
      <c r="A2" s="1" t="str">
        <f>'01 Product Master'!A2</f>
        <v>SN-0001</v>
      </c>
      <c r="B2" s="1" t="str">
        <f>'01 Product Master'!C2</f>
        <v>ABC Sambal Asli</v>
      </c>
      <c r="C2" s="7">
        <f>'01 Product Master'!J2</f>
        <v>567</v>
      </c>
      <c r="D2" s="7">
        <f>'01 Product Master'!K2</f>
        <v>570</v>
      </c>
      <c r="E2" s="7">
        <f>'01 Product Master'!L2</f>
        <v>540</v>
      </c>
      <c r="F2" s="7">
        <f>'01 Product Master'!M2</f>
        <v>520</v>
      </c>
      <c r="G2" s="7">
        <f>'01 Product Master'!N2</f>
        <v>500</v>
      </c>
      <c r="H2" s="7">
        <f>'01 Product Master'!O2</f>
        <v>0</v>
      </c>
      <c r="I2" s="7" t="str">
        <f>'01 Product Master'!P2</f>
        <v/>
      </c>
      <c r="J2" s="2" t="str">
        <f>'01 Product Master'!Q2</f>
        <v/>
      </c>
      <c r="K2" s="1"/>
    </row>
    <row r="3" spans="1:11" ht="16" x14ac:dyDescent="0.2">
      <c r="A3" s="1" t="str">
        <f>'01 Product Master'!A3</f>
        <v>SN-0002</v>
      </c>
      <c r="B3" s="1" t="str">
        <f>'01 Product Master'!C3</f>
        <v>ABC Sambal Extra Pedas</v>
      </c>
      <c r="C3" s="7">
        <f>'01 Product Master'!J3</f>
        <v>617</v>
      </c>
      <c r="D3" s="7">
        <f>'01 Product Master'!K3</f>
        <v>620</v>
      </c>
      <c r="E3" s="7">
        <f>'01 Product Master'!L3</f>
        <v>590</v>
      </c>
      <c r="F3" s="7">
        <f>'01 Product Master'!M3</f>
        <v>570</v>
      </c>
      <c r="G3" s="7">
        <f>'01 Product Master'!N3</f>
        <v>550</v>
      </c>
      <c r="H3" s="7">
        <f>'01 Product Master'!O3</f>
        <v>0</v>
      </c>
      <c r="I3" s="7" t="str">
        <f>'01 Product Master'!P3</f>
        <v/>
      </c>
      <c r="J3" s="2" t="str">
        <f>'01 Product Master'!Q3</f>
        <v/>
      </c>
      <c r="K3" s="1"/>
    </row>
    <row r="4" spans="1:11" ht="16" x14ac:dyDescent="0.2">
      <c r="A4" s="1" t="str">
        <f>'01 Product Master'!A4</f>
        <v>SN-0003</v>
      </c>
      <c r="B4" s="1" t="str">
        <f>'01 Product Master'!C4</f>
        <v>Sambel ABC Sachet</v>
      </c>
      <c r="C4" s="7">
        <f>'01 Product Master'!J4</f>
        <v>800</v>
      </c>
      <c r="D4" s="7">
        <f>'01 Product Master'!K4</f>
        <v>800</v>
      </c>
      <c r="E4" s="7">
        <f>'01 Product Master'!L4</f>
        <v>760</v>
      </c>
      <c r="F4" s="7">
        <f>'01 Product Master'!M4</f>
        <v>740</v>
      </c>
      <c r="G4" s="7">
        <f>'01 Product Master'!N4</f>
        <v>700</v>
      </c>
      <c r="H4" s="7">
        <f>'01 Product Master'!O4</f>
        <v>0</v>
      </c>
      <c r="I4" s="7" t="str">
        <f>'01 Product Master'!P4</f>
        <v/>
      </c>
      <c r="J4" s="2" t="str">
        <f>'01 Product Master'!Q4</f>
        <v/>
      </c>
      <c r="K4" s="1"/>
    </row>
    <row r="5" spans="1:11" ht="16" x14ac:dyDescent="0.2">
      <c r="A5" s="1" t="str">
        <f>'01 Product Master'!A5</f>
        <v>SN-0004</v>
      </c>
      <c r="B5" s="1" t="str">
        <f>'01 Product Master'!C5</f>
        <v>Dua Belibis Sauce</v>
      </c>
      <c r="C5" s="7">
        <f>'01 Product Master'!J5</f>
        <v>673</v>
      </c>
      <c r="D5" s="7">
        <f>'01 Product Master'!K5</f>
        <v>670</v>
      </c>
      <c r="E5" s="7">
        <f>'01 Product Master'!L5</f>
        <v>640</v>
      </c>
      <c r="F5" s="7">
        <f>'01 Product Master'!M5</f>
        <v>620</v>
      </c>
      <c r="G5" s="7">
        <f>'01 Product Master'!N5</f>
        <v>590</v>
      </c>
      <c r="H5" s="7">
        <f>'01 Product Master'!O5</f>
        <v>0</v>
      </c>
      <c r="I5" s="7" t="str">
        <f>'01 Product Master'!P5</f>
        <v/>
      </c>
      <c r="J5" s="2" t="str">
        <f>'01 Product Master'!Q5</f>
        <v/>
      </c>
      <c r="K5" s="1"/>
    </row>
    <row r="6" spans="1:11" ht="16" x14ac:dyDescent="0.2">
      <c r="A6" s="1" t="str">
        <f>'01 Product Master'!A6</f>
        <v>SN-0005</v>
      </c>
      <c r="B6" s="1" t="str">
        <f>'01 Product Master'!C6</f>
        <v>Saori saus Tiram</v>
      </c>
      <c r="C6" s="7">
        <f>'01 Product Master'!J6</f>
        <v>140</v>
      </c>
      <c r="D6" s="7">
        <f>'01 Product Master'!K6</f>
        <v>140</v>
      </c>
      <c r="E6" s="7">
        <f>'01 Product Master'!L6</f>
        <v>130</v>
      </c>
      <c r="F6" s="7">
        <f>'01 Product Master'!M6</f>
        <v>130</v>
      </c>
      <c r="G6" s="7">
        <f>'01 Product Master'!N6</f>
        <v>120</v>
      </c>
      <c r="H6" s="7">
        <f>'01 Product Master'!O6</f>
        <v>0</v>
      </c>
      <c r="I6" s="7" t="str">
        <f>'01 Product Master'!P6</f>
        <v/>
      </c>
      <c r="J6" s="2" t="str">
        <f>'01 Product Master'!Q6</f>
        <v/>
      </c>
      <c r="K6" s="1"/>
    </row>
    <row r="7" spans="1:11" ht="16" x14ac:dyDescent="0.2">
      <c r="A7" s="1" t="str">
        <f>'01 Product Master'!A7</f>
        <v>SN-0006</v>
      </c>
      <c r="B7" s="1" t="str">
        <f>'01 Product Master'!C7</f>
        <v>Saori Saus Tiram</v>
      </c>
      <c r="C7" s="7">
        <f>'01 Product Master'!J7</f>
        <v>652</v>
      </c>
      <c r="D7" s="7">
        <f>'01 Product Master'!K7</f>
        <v>650</v>
      </c>
      <c r="E7" s="7">
        <f>'01 Product Master'!L7</f>
        <v>620</v>
      </c>
      <c r="F7" s="7">
        <f>'01 Product Master'!M7</f>
        <v>600</v>
      </c>
      <c r="G7" s="7">
        <f>'01 Product Master'!N7</f>
        <v>570</v>
      </c>
      <c r="H7" s="7">
        <f>'01 Product Master'!O7</f>
        <v>0</v>
      </c>
      <c r="I7" s="7" t="str">
        <f>'01 Product Master'!P7</f>
        <v/>
      </c>
      <c r="J7" s="2" t="str">
        <f>'01 Product Master'!Q7</f>
        <v/>
      </c>
      <c r="K7" s="1"/>
    </row>
    <row r="8" spans="1:11" ht="16" x14ac:dyDescent="0.2">
      <c r="A8" s="1" t="str">
        <f>'01 Product Master'!A8</f>
        <v>SN-0007</v>
      </c>
      <c r="B8" s="1" t="str">
        <f>'01 Product Master'!C8</f>
        <v>Saori Teriyaki</v>
      </c>
      <c r="C8" s="7">
        <f>'01 Product Master'!J8</f>
        <v>645</v>
      </c>
      <c r="D8" s="7">
        <f>'01 Product Master'!K8</f>
        <v>650</v>
      </c>
      <c r="E8" s="7">
        <f>'01 Product Master'!L8</f>
        <v>620</v>
      </c>
      <c r="F8" s="7">
        <f>'01 Product Master'!M8</f>
        <v>600</v>
      </c>
      <c r="G8" s="7">
        <f>'01 Product Master'!N8</f>
        <v>570</v>
      </c>
      <c r="H8" s="7">
        <f>'01 Product Master'!O8</f>
        <v>0</v>
      </c>
      <c r="I8" s="7" t="str">
        <f>'01 Product Master'!P8</f>
        <v/>
      </c>
      <c r="J8" s="2" t="str">
        <f>'01 Product Master'!Q8</f>
        <v/>
      </c>
      <c r="K8" s="1"/>
    </row>
    <row r="9" spans="1:11" ht="16" x14ac:dyDescent="0.2">
      <c r="A9" s="1" t="str">
        <f>'01 Product Master'!A9</f>
        <v>SN-0008</v>
      </c>
      <c r="B9" s="1" t="str">
        <f>'01 Product Master'!C9</f>
        <v>Sambal Uleg Bawang</v>
      </c>
      <c r="C9" s="7">
        <f>'01 Product Master'!J9</f>
        <v>950</v>
      </c>
      <c r="D9" s="7">
        <f>'01 Product Master'!K9</f>
        <v>950</v>
      </c>
      <c r="E9" s="7">
        <f>'01 Product Master'!L9</f>
        <v>900</v>
      </c>
      <c r="F9" s="7">
        <f>'01 Product Master'!M9</f>
        <v>870</v>
      </c>
      <c r="G9" s="7">
        <f>'01 Product Master'!N9</f>
        <v>840</v>
      </c>
      <c r="H9" s="7">
        <f>'01 Product Master'!O9</f>
        <v>0</v>
      </c>
      <c r="I9" s="7" t="str">
        <f>'01 Product Master'!P9</f>
        <v/>
      </c>
      <c r="J9" s="2" t="str">
        <f>'01 Product Master'!Q9</f>
        <v/>
      </c>
      <c r="K9" s="1"/>
    </row>
    <row r="10" spans="1:11" ht="16" x14ac:dyDescent="0.2">
      <c r="A10" s="1" t="str">
        <f>'01 Product Master'!A10</f>
        <v>SN-0009</v>
      </c>
      <c r="B10" s="1" t="str">
        <f>'01 Product Master'!C10</f>
        <v>Sambal Uleg Rawit</v>
      </c>
      <c r="C10" s="7">
        <f>'01 Product Master'!J10</f>
        <v>950</v>
      </c>
      <c r="D10" s="7">
        <f>'01 Product Master'!K10</f>
        <v>950</v>
      </c>
      <c r="E10" s="7">
        <f>'01 Product Master'!L10</f>
        <v>900</v>
      </c>
      <c r="F10" s="7">
        <f>'01 Product Master'!M10</f>
        <v>870</v>
      </c>
      <c r="G10" s="7">
        <f>'01 Product Master'!N10</f>
        <v>840</v>
      </c>
      <c r="H10" s="7">
        <f>'01 Product Master'!O10</f>
        <v>0</v>
      </c>
      <c r="I10" s="7" t="str">
        <f>'01 Product Master'!P10</f>
        <v/>
      </c>
      <c r="J10" s="2" t="str">
        <f>'01 Product Master'!Q10</f>
        <v/>
      </c>
      <c r="K10" s="1"/>
    </row>
    <row r="11" spans="1:11" ht="16" x14ac:dyDescent="0.2">
      <c r="A11" s="1" t="str">
        <f>'01 Product Master'!A11</f>
        <v>SN-0010</v>
      </c>
      <c r="B11" s="1" t="str">
        <f>'01 Product Master'!C11</f>
        <v>Sambel Uleg Teri</v>
      </c>
      <c r="C11" s="7">
        <f>'01 Product Master'!J11</f>
        <v>950</v>
      </c>
      <c r="D11" s="7">
        <f>'01 Product Master'!K11</f>
        <v>950</v>
      </c>
      <c r="E11" s="7">
        <f>'01 Product Master'!L11</f>
        <v>900</v>
      </c>
      <c r="F11" s="7">
        <f>'01 Product Master'!M11</f>
        <v>870</v>
      </c>
      <c r="G11" s="7">
        <f>'01 Product Master'!N11</f>
        <v>840</v>
      </c>
      <c r="H11" s="7">
        <f>'01 Product Master'!O11</f>
        <v>0</v>
      </c>
      <c r="I11" s="7" t="str">
        <f>'01 Product Master'!P11</f>
        <v/>
      </c>
      <c r="J11" s="2" t="str">
        <f>'01 Product Master'!Q11</f>
        <v/>
      </c>
      <c r="K11" s="1"/>
    </row>
    <row r="12" spans="1:11" ht="16" x14ac:dyDescent="0.2">
      <c r="A12" s="1" t="str">
        <f>'01 Product Master'!A12</f>
        <v>SN-0011</v>
      </c>
      <c r="B12" s="1" t="str">
        <f>'01 Product Master'!C12</f>
        <v>Sambel Uleg Udang</v>
      </c>
      <c r="C12" s="7">
        <f>'01 Product Master'!J12</f>
        <v>950</v>
      </c>
      <c r="D12" s="7">
        <f>'01 Product Master'!K12</f>
        <v>950</v>
      </c>
      <c r="E12" s="7">
        <f>'01 Product Master'!L12</f>
        <v>900</v>
      </c>
      <c r="F12" s="7">
        <f>'01 Product Master'!M12</f>
        <v>870</v>
      </c>
      <c r="G12" s="7">
        <f>'01 Product Master'!N12</f>
        <v>840</v>
      </c>
      <c r="H12" s="7">
        <f>'01 Product Master'!O12</f>
        <v>0</v>
      </c>
      <c r="I12" s="7" t="str">
        <f>'01 Product Master'!P12</f>
        <v/>
      </c>
      <c r="J12" s="2" t="str">
        <f>'01 Product Master'!Q12</f>
        <v/>
      </c>
      <c r="K12" s="1"/>
    </row>
    <row r="13" spans="1:11" ht="16" x14ac:dyDescent="0.2">
      <c r="A13" s="1" t="str">
        <f>'01 Product Master'!A13</f>
        <v>SN-0012</v>
      </c>
      <c r="B13" s="1" t="str">
        <f>'01 Product Master'!C13</f>
        <v>Sambel Uleg Terasi</v>
      </c>
      <c r="C13" s="7">
        <f>'01 Product Master'!J13</f>
        <v>950</v>
      </c>
      <c r="D13" s="7">
        <f>'01 Product Master'!K13</f>
        <v>950</v>
      </c>
      <c r="E13" s="7">
        <f>'01 Product Master'!L13</f>
        <v>900</v>
      </c>
      <c r="F13" s="7">
        <f>'01 Product Master'!M13</f>
        <v>870</v>
      </c>
      <c r="G13" s="7">
        <f>'01 Product Master'!N13</f>
        <v>840</v>
      </c>
      <c r="H13" s="7">
        <f>'01 Product Master'!O13</f>
        <v>0</v>
      </c>
      <c r="I13" s="7" t="str">
        <f>'01 Product Master'!P13</f>
        <v/>
      </c>
      <c r="J13" s="2" t="str">
        <f>'01 Product Master'!Q13</f>
        <v/>
      </c>
      <c r="K13" s="1"/>
    </row>
    <row r="14" spans="1:11" ht="16" x14ac:dyDescent="0.2">
      <c r="A14" s="1" t="str">
        <f>'01 Product Master'!A14</f>
        <v>SN-0013</v>
      </c>
      <c r="B14" s="1" t="str">
        <f>'01 Product Master'!C14</f>
        <v>Sambel Uleg Rendang</v>
      </c>
      <c r="C14" s="7">
        <f>'01 Product Master'!J14</f>
        <v>950</v>
      </c>
      <c r="D14" s="7">
        <f>'01 Product Master'!K14</f>
        <v>950</v>
      </c>
      <c r="E14" s="7">
        <f>'01 Product Master'!L14</f>
        <v>900</v>
      </c>
      <c r="F14" s="7">
        <f>'01 Product Master'!M14</f>
        <v>870</v>
      </c>
      <c r="G14" s="7">
        <f>'01 Product Master'!N14</f>
        <v>840</v>
      </c>
      <c r="H14" s="7">
        <f>'01 Product Master'!O14</f>
        <v>0</v>
      </c>
      <c r="I14" s="7" t="str">
        <f>'01 Product Master'!P14</f>
        <v/>
      </c>
      <c r="J14" s="2" t="str">
        <f>'01 Product Master'!Q14</f>
        <v/>
      </c>
      <c r="K14" s="1"/>
    </row>
    <row r="15" spans="1:11" ht="16" x14ac:dyDescent="0.2">
      <c r="A15" s="1" t="str">
        <f>'01 Product Master'!A15</f>
        <v>SN-0014</v>
      </c>
      <c r="B15" s="1" t="str">
        <f>'01 Product Master'!C15</f>
        <v>Sambel Uleg Ijo</v>
      </c>
      <c r="C15" s="7">
        <f>'01 Product Master'!J15</f>
        <v>950</v>
      </c>
      <c r="D15" s="7">
        <f>'01 Product Master'!K15</f>
        <v>950</v>
      </c>
      <c r="E15" s="7">
        <f>'01 Product Master'!L15</f>
        <v>900</v>
      </c>
      <c r="F15" s="7">
        <f>'01 Product Master'!M15</f>
        <v>870</v>
      </c>
      <c r="G15" s="7">
        <f>'01 Product Master'!N15</f>
        <v>840</v>
      </c>
      <c r="H15" s="7">
        <f>'01 Product Master'!O15</f>
        <v>0</v>
      </c>
      <c r="I15" s="7" t="str">
        <f>'01 Product Master'!P15</f>
        <v/>
      </c>
      <c r="J15" s="2" t="str">
        <f>'01 Product Master'!Q15</f>
        <v/>
      </c>
      <c r="K15" s="1"/>
    </row>
    <row r="16" spans="1:11" ht="16" x14ac:dyDescent="0.2">
      <c r="A16" s="1" t="str">
        <f>'01 Product Master'!A16</f>
        <v>SN-0015</v>
      </c>
      <c r="B16" s="1" t="str">
        <f>'01 Product Master'!C16</f>
        <v>Sambel Uleg Serbaguna</v>
      </c>
      <c r="C16" s="7">
        <f>'01 Product Master'!J16</f>
        <v>950</v>
      </c>
      <c r="D16" s="7">
        <f>'01 Product Master'!K16</f>
        <v>950</v>
      </c>
      <c r="E16" s="7">
        <f>'01 Product Master'!L16</f>
        <v>900</v>
      </c>
      <c r="F16" s="7">
        <f>'01 Product Master'!M16</f>
        <v>870</v>
      </c>
      <c r="G16" s="7">
        <f>'01 Product Master'!N16</f>
        <v>840</v>
      </c>
      <c r="H16" s="7">
        <f>'01 Product Master'!O16</f>
        <v>0</v>
      </c>
      <c r="I16" s="7" t="str">
        <f>'01 Product Master'!P16</f>
        <v/>
      </c>
      <c r="J16" s="2" t="str">
        <f>'01 Product Master'!Q16</f>
        <v/>
      </c>
      <c r="K16" s="1"/>
    </row>
    <row r="17" spans="1:11" ht="16" x14ac:dyDescent="0.2">
      <c r="A17" s="1" t="str">
        <f>'01 Product Master'!A17</f>
        <v>SN-0016</v>
      </c>
      <c r="B17" s="1" t="str">
        <f>'01 Product Master'!C17</f>
        <v>Indomie Goreng</v>
      </c>
      <c r="C17" s="7">
        <f>'01 Product Master'!J17</f>
        <v>140</v>
      </c>
      <c r="D17" s="7">
        <f>'01 Product Master'!K17</f>
        <v>140</v>
      </c>
      <c r="E17" s="7">
        <f>'01 Product Master'!L17</f>
        <v>130</v>
      </c>
      <c r="F17" s="7">
        <f>'01 Product Master'!M17</f>
        <v>130</v>
      </c>
      <c r="G17" s="7">
        <f>'01 Product Master'!N17</f>
        <v>120</v>
      </c>
      <c r="H17" s="7">
        <f>'01 Product Master'!O17</f>
        <v>0</v>
      </c>
      <c r="I17" s="7" t="str">
        <f>'01 Product Master'!P17</f>
        <v/>
      </c>
      <c r="J17" s="2" t="str">
        <f>'01 Product Master'!Q17</f>
        <v/>
      </c>
      <c r="K17" s="1"/>
    </row>
    <row r="18" spans="1:11" ht="16" x14ac:dyDescent="0.2">
      <c r="A18" s="1" t="str">
        <f>'01 Product Master'!A18</f>
        <v>SN-0017</v>
      </c>
      <c r="B18" s="1" t="str">
        <f>'01 Product Master'!C18</f>
        <v>Indomie Aceh</v>
      </c>
      <c r="C18" s="7">
        <f>'01 Product Master'!J18</f>
        <v>140</v>
      </c>
      <c r="D18" s="7">
        <f>'01 Product Master'!K18</f>
        <v>140</v>
      </c>
      <c r="E18" s="7">
        <f>'01 Product Master'!L18</f>
        <v>130</v>
      </c>
      <c r="F18" s="7">
        <f>'01 Product Master'!M18</f>
        <v>130</v>
      </c>
      <c r="G18" s="7">
        <f>'01 Product Master'!N18</f>
        <v>120</v>
      </c>
      <c r="H18" s="7">
        <f>'01 Product Master'!O18</f>
        <v>0</v>
      </c>
      <c r="I18" s="7" t="str">
        <f>'01 Product Master'!P18</f>
        <v/>
      </c>
      <c r="J18" s="2" t="str">
        <f>'01 Product Master'!Q18</f>
        <v/>
      </c>
      <c r="K18" s="1"/>
    </row>
    <row r="19" spans="1:11" ht="16" x14ac:dyDescent="0.2">
      <c r="A19" s="1" t="str">
        <f>'01 Product Master'!A19</f>
        <v>SN-0018</v>
      </c>
      <c r="B19" s="1" t="str">
        <f>'01 Product Master'!C19</f>
        <v>Indomie Cabe Ijo</v>
      </c>
      <c r="C19" s="7">
        <f>'01 Product Master'!J19</f>
        <v>140</v>
      </c>
      <c r="D19" s="7">
        <f>'01 Product Master'!K19</f>
        <v>140</v>
      </c>
      <c r="E19" s="7">
        <f>'01 Product Master'!L19</f>
        <v>130</v>
      </c>
      <c r="F19" s="7">
        <f>'01 Product Master'!M19</f>
        <v>130</v>
      </c>
      <c r="G19" s="7">
        <f>'01 Product Master'!N19</f>
        <v>120</v>
      </c>
      <c r="H19" s="7">
        <f>'01 Product Master'!O19</f>
        <v>0</v>
      </c>
      <c r="I19" s="7" t="str">
        <f>'01 Product Master'!P19</f>
        <v/>
      </c>
      <c r="J19" s="2" t="str">
        <f>'01 Product Master'!Q19</f>
        <v/>
      </c>
      <c r="K19" s="1"/>
    </row>
    <row r="20" spans="1:11" ht="16" x14ac:dyDescent="0.2">
      <c r="A20" s="1" t="str">
        <f>'01 Product Master'!A20</f>
        <v>SN-0019</v>
      </c>
      <c r="B20" s="1" t="str">
        <f>'01 Product Master'!C20</f>
        <v>Indomie Rendang</v>
      </c>
      <c r="C20" s="7">
        <f>'01 Product Master'!J20</f>
        <v>140</v>
      </c>
      <c r="D20" s="7">
        <f>'01 Product Master'!K20</f>
        <v>140</v>
      </c>
      <c r="E20" s="7">
        <f>'01 Product Master'!L20</f>
        <v>130</v>
      </c>
      <c r="F20" s="7">
        <f>'01 Product Master'!M20</f>
        <v>130</v>
      </c>
      <c r="G20" s="7">
        <f>'01 Product Master'!N20</f>
        <v>120</v>
      </c>
      <c r="H20" s="7">
        <f>'01 Product Master'!O20</f>
        <v>0</v>
      </c>
      <c r="I20" s="7" t="str">
        <f>'01 Product Master'!P20</f>
        <v/>
      </c>
      <c r="J20" s="2" t="str">
        <f>'01 Product Master'!Q20</f>
        <v/>
      </c>
      <c r="K20" s="1"/>
    </row>
    <row r="21" spans="1:11" ht="16" x14ac:dyDescent="0.2">
      <c r="A21" s="1" t="str">
        <f>'01 Product Master'!A21</f>
        <v>SN-0020</v>
      </c>
      <c r="B21" s="1" t="str">
        <f>'01 Product Master'!C21</f>
        <v>Indomie Soto</v>
      </c>
      <c r="C21" s="7">
        <f>'01 Product Master'!J21</f>
        <v>140</v>
      </c>
      <c r="D21" s="7">
        <f>'01 Product Master'!K21</f>
        <v>140</v>
      </c>
      <c r="E21" s="7">
        <f>'01 Product Master'!L21</f>
        <v>130</v>
      </c>
      <c r="F21" s="7">
        <f>'01 Product Master'!M21</f>
        <v>130</v>
      </c>
      <c r="G21" s="7">
        <f>'01 Product Master'!N21</f>
        <v>120</v>
      </c>
      <c r="H21" s="7">
        <f>'01 Product Master'!O21</f>
        <v>0</v>
      </c>
      <c r="I21" s="7" t="str">
        <f>'01 Product Master'!P21</f>
        <v/>
      </c>
      <c r="J21" s="2" t="str">
        <f>'01 Product Master'!Q21</f>
        <v/>
      </c>
      <c r="K21" s="1"/>
    </row>
    <row r="22" spans="1:11" ht="16" x14ac:dyDescent="0.2">
      <c r="A22" s="1" t="str">
        <f>'01 Product Master'!A22</f>
        <v>SN-0021</v>
      </c>
      <c r="B22" s="1" t="str">
        <f>'01 Product Master'!C22</f>
        <v>Indomie Ayam Bawang</v>
      </c>
      <c r="C22" s="7">
        <f>'01 Product Master'!J22</f>
        <v>140</v>
      </c>
      <c r="D22" s="7">
        <f>'01 Product Master'!K22</f>
        <v>140</v>
      </c>
      <c r="E22" s="7">
        <f>'01 Product Master'!L22</f>
        <v>130</v>
      </c>
      <c r="F22" s="7">
        <f>'01 Product Master'!M22</f>
        <v>130</v>
      </c>
      <c r="G22" s="7">
        <f>'01 Product Master'!N22</f>
        <v>120</v>
      </c>
      <c r="H22" s="7">
        <f>'01 Product Master'!O22</f>
        <v>0</v>
      </c>
      <c r="I22" s="7" t="str">
        <f>'01 Product Master'!P22</f>
        <v/>
      </c>
      <c r="J22" s="2" t="str">
        <f>'01 Product Master'!Q22</f>
        <v/>
      </c>
      <c r="K22" s="1"/>
    </row>
    <row r="23" spans="1:11" ht="16" x14ac:dyDescent="0.2">
      <c r="A23" s="1" t="str">
        <f>'01 Product Master'!A23</f>
        <v>SN-0022</v>
      </c>
      <c r="B23" s="1" t="str">
        <f>'01 Product Master'!C23</f>
        <v>Indomie Goreng Pedas</v>
      </c>
      <c r="C23" s="7">
        <f>'01 Product Master'!J23</f>
        <v>140</v>
      </c>
      <c r="D23" s="7">
        <f>'01 Product Master'!K23</f>
        <v>140</v>
      </c>
      <c r="E23" s="7">
        <f>'01 Product Master'!L23</f>
        <v>130</v>
      </c>
      <c r="F23" s="7">
        <f>'01 Product Master'!M23</f>
        <v>130</v>
      </c>
      <c r="G23" s="7">
        <f>'01 Product Master'!N23</f>
        <v>120</v>
      </c>
      <c r="H23" s="7">
        <f>'01 Product Master'!O23</f>
        <v>0</v>
      </c>
      <c r="I23" s="7" t="str">
        <f>'01 Product Master'!P23</f>
        <v/>
      </c>
      <c r="J23" s="2" t="str">
        <f>'01 Product Master'!Q23</f>
        <v/>
      </c>
      <c r="K23" s="1"/>
    </row>
    <row r="24" spans="1:11" ht="16" x14ac:dyDescent="0.2">
      <c r="A24" s="1" t="str">
        <f>'01 Product Master'!A24</f>
        <v>SN-0023</v>
      </c>
      <c r="B24" s="1" t="str">
        <f>'01 Product Master'!C24</f>
        <v>Indomie Kari Ayam</v>
      </c>
      <c r="C24" s="7">
        <f>'01 Product Master'!J24</f>
        <v>140</v>
      </c>
      <c r="D24" s="7">
        <f>'01 Product Master'!K24</f>
        <v>140</v>
      </c>
      <c r="E24" s="7">
        <f>'01 Product Master'!L24</f>
        <v>130</v>
      </c>
      <c r="F24" s="7">
        <f>'01 Product Master'!M24</f>
        <v>130</v>
      </c>
      <c r="G24" s="7">
        <f>'01 Product Master'!N24</f>
        <v>120</v>
      </c>
      <c r="H24" s="7">
        <f>'01 Product Master'!O24</f>
        <v>0</v>
      </c>
      <c r="I24" s="7" t="str">
        <f>'01 Product Master'!P24</f>
        <v/>
      </c>
      <c r="J24" s="2" t="str">
        <f>'01 Product Master'!Q24</f>
        <v/>
      </c>
      <c r="K24" s="1"/>
    </row>
    <row r="25" spans="1:11" ht="16" x14ac:dyDescent="0.2">
      <c r="A25" s="1" t="str">
        <f>'01 Product Master'!A25</f>
        <v>SN-0024</v>
      </c>
      <c r="B25" s="1" t="str">
        <f>'01 Product Master'!C25</f>
        <v>Indomie Ayam Special</v>
      </c>
      <c r="C25" s="7">
        <f>'01 Product Master'!J25</f>
        <v>140</v>
      </c>
      <c r="D25" s="7">
        <f>'01 Product Master'!K25</f>
        <v>140</v>
      </c>
      <c r="E25" s="7">
        <f>'01 Product Master'!L25</f>
        <v>130</v>
      </c>
      <c r="F25" s="7">
        <f>'01 Product Master'!M25</f>
        <v>130</v>
      </c>
      <c r="G25" s="7">
        <f>'01 Product Master'!N25</f>
        <v>120</v>
      </c>
      <c r="H25" s="7">
        <f>'01 Product Master'!O25</f>
        <v>0</v>
      </c>
      <c r="I25" s="7" t="str">
        <f>'01 Product Master'!P25</f>
        <v/>
      </c>
      <c r="J25" s="2" t="str">
        <f>'01 Product Master'!Q25</f>
        <v/>
      </c>
      <c r="K25" s="1"/>
    </row>
    <row r="26" spans="1:11" ht="16" x14ac:dyDescent="0.2">
      <c r="A26" s="1" t="str">
        <f>'01 Product Master'!A26</f>
        <v>SN-0025</v>
      </c>
      <c r="B26" s="1" t="str">
        <f>'01 Product Master'!C26</f>
        <v>Sedaap Goreng</v>
      </c>
      <c r="C26" s="7">
        <f>'01 Product Master'!J26</f>
        <v>183</v>
      </c>
      <c r="D26" s="7">
        <f>'01 Product Master'!K26</f>
        <v>180</v>
      </c>
      <c r="E26" s="7">
        <f>'01 Product Master'!L26</f>
        <v>170</v>
      </c>
      <c r="F26" s="7">
        <f>'01 Product Master'!M26</f>
        <v>170</v>
      </c>
      <c r="G26" s="7">
        <f>'01 Product Master'!N26</f>
        <v>160</v>
      </c>
      <c r="H26" s="7">
        <f>'01 Product Master'!O26</f>
        <v>0</v>
      </c>
      <c r="I26" s="7" t="str">
        <f>'01 Product Master'!P26</f>
        <v/>
      </c>
      <c r="J26" s="2" t="str">
        <f>'01 Product Master'!Q26</f>
        <v/>
      </c>
      <c r="K26" s="1"/>
    </row>
    <row r="27" spans="1:11" ht="16" x14ac:dyDescent="0.2">
      <c r="A27" s="1" t="str">
        <f>'01 Product Master'!A27</f>
        <v>SN-0026</v>
      </c>
      <c r="B27" s="1" t="str">
        <f>'01 Product Master'!C27</f>
        <v>Sedaap Soto</v>
      </c>
      <c r="C27" s="7">
        <f>'01 Product Master'!J27</f>
        <v>164</v>
      </c>
      <c r="D27" s="7">
        <f>'01 Product Master'!K27</f>
        <v>160</v>
      </c>
      <c r="E27" s="7">
        <f>'01 Product Master'!L27</f>
        <v>150</v>
      </c>
      <c r="F27" s="7">
        <f>'01 Product Master'!M27</f>
        <v>150</v>
      </c>
      <c r="G27" s="7">
        <f>'01 Product Master'!N27</f>
        <v>140</v>
      </c>
      <c r="H27" s="7">
        <f>'01 Product Master'!O27</f>
        <v>0</v>
      </c>
      <c r="I27" s="7" t="str">
        <f>'01 Product Master'!P27</f>
        <v/>
      </c>
      <c r="J27" s="2" t="str">
        <f>'01 Product Master'!Q27</f>
        <v/>
      </c>
      <c r="K27" s="1"/>
    </row>
    <row r="28" spans="1:11" ht="16" x14ac:dyDescent="0.2">
      <c r="A28" s="1" t="str">
        <f>'01 Product Master'!A28</f>
        <v>SN-0027</v>
      </c>
      <c r="B28" s="1" t="str">
        <f>'01 Product Master'!C28</f>
        <v>Sedaap Korean Spicy Chicken</v>
      </c>
      <c r="C28" s="7">
        <f>'01 Product Master'!J28</f>
        <v>164</v>
      </c>
      <c r="D28" s="7">
        <f>'01 Product Master'!K28</f>
        <v>160</v>
      </c>
      <c r="E28" s="7">
        <f>'01 Product Master'!L28</f>
        <v>150</v>
      </c>
      <c r="F28" s="7">
        <f>'01 Product Master'!M28</f>
        <v>150</v>
      </c>
      <c r="G28" s="7">
        <f>'01 Product Master'!N28</f>
        <v>140</v>
      </c>
      <c r="H28" s="7">
        <f>'01 Product Master'!O28</f>
        <v>0</v>
      </c>
      <c r="I28" s="7" t="str">
        <f>'01 Product Master'!P28</f>
        <v/>
      </c>
      <c r="J28" s="2" t="str">
        <f>'01 Product Master'!Q28</f>
        <v/>
      </c>
      <c r="K28" s="1"/>
    </row>
    <row r="29" spans="1:11" ht="16" x14ac:dyDescent="0.2">
      <c r="A29" s="1" t="str">
        <f>'01 Product Master'!A29</f>
        <v>SN-0028</v>
      </c>
      <c r="B29" s="1" t="str">
        <f>'01 Product Master'!C29</f>
        <v>Sedaap Bakso</v>
      </c>
      <c r="C29" s="7">
        <f>'01 Product Master'!J29</f>
        <v>164</v>
      </c>
      <c r="D29" s="7">
        <f>'01 Product Master'!K29</f>
        <v>160</v>
      </c>
      <c r="E29" s="7">
        <f>'01 Product Master'!L29</f>
        <v>150</v>
      </c>
      <c r="F29" s="7">
        <f>'01 Product Master'!M29</f>
        <v>150</v>
      </c>
      <c r="G29" s="7">
        <f>'01 Product Master'!N29</f>
        <v>140</v>
      </c>
      <c r="H29" s="7">
        <f>'01 Product Master'!O29</f>
        <v>0</v>
      </c>
      <c r="I29" s="7" t="str">
        <f>'01 Product Master'!P29</f>
        <v/>
      </c>
      <c r="J29" s="2" t="str">
        <f>'01 Product Master'!Q29</f>
        <v/>
      </c>
      <c r="K29" s="1"/>
    </row>
    <row r="30" spans="1:11" ht="16" x14ac:dyDescent="0.2">
      <c r="A30" s="1" t="str">
        <f>'01 Product Master'!A30</f>
        <v>SN-0029</v>
      </c>
      <c r="B30" s="1" t="str">
        <f>'01 Product Master'!C30</f>
        <v>Indomie Ayam Geprek</v>
      </c>
      <c r="C30" s="7" t="str">
        <f>'01 Product Master'!J30</f>
        <v/>
      </c>
      <c r="D30" s="7" t="str">
        <f>'01 Product Master'!K30</f>
        <v/>
      </c>
      <c r="E30" s="7" t="str">
        <f>'01 Product Master'!L30</f>
        <v/>
      </c>
      <c r="F30" s="7" t="str">
        <f>'01 Product Master'!M30</f>
        <v/>
      </c>
      <c r="G30" s="7" t="str">
        <f>'01 Product Master'!N30</f>
        <v/>
      </c>
      <c r="H30" s="7">
        <f>'01 Product Master'!O30</f>
        <v>0</v>
      </c>
      <c r="I30" s="7" t="str">
        <f>'01 Product Master'!P30</f>
        <v/>
      </c>
      <c r="J30" s="2" t="str">
        <f>'01 Product Master'!Q30</f>
        <v/>
      </c>
      <c r="K30" s="1"/>
    </row>
    <row r="31" spans="1:11" ht="16" x14ac:dyDescent="0.2">
      <c r="A31" s="1" t="str">
        <f>'01 Product Master'!A31</f>
        <v>SN-0030</v>
      </c>
      <c r="B31" s="1" t="str">
        <f>'01 Product Master'!C31</f>
        <v>Gaga Goreng Extra Pedas</v>
      </c>
      <c r="C31" s="7">
        <f>'01 Product Master'!J31</f>
        <v>165</v>
      </c>
      <c r="D31" s="7">
        <f>'01 Product Master'!K31</f>
        <v>170</v>
      </c>
      <c r="E31" s="7">
        <f>'01 Product Master'!L31</f>
        <v>160</v>
      </c>
      <c r="F31" s="7">
        <f>'01 Product Master'!M31</f>
        <v>160</v>
      </c>
      <c r="G31" s="7">
        <f>'01 Product Master'!N31</f>
        <v>150</v>
      </c>
      <c r="H31" s="7">
        <f>'01 Product Master'!O31</f>
        <v>0</v>
      </c>
      <c r="I31" s="7" t="str">
        <f>'01 Product Master'!P31</f>
        <v/>
      </c>
      <c r="J31" s="2" t="str">
        <f>'01 Product Master'!Q31</f>
        <v/>
      </c>
      <c r="K31" s="1"/>
    </row>
    <row r="32" spans="1:11" ht="16" x14ac:dyDescent="0.2">
      <c r="A32" s="1" t="str">
        <f>'01 Product Master'!A32</f>
        <v>SN-0031</v>
      </c>
      <c r="B32" s="1" t="str">
        <f>'01 Product Master'!C32</f>
        <v>Gaga Jalapeno</v>
      </c>
      <c r="C32" s="7">
        <f>'01 Product Master'!J32</f>
        <v>165</v>
      </c>
      <c r="D32" s="7">
        <f>'01 Product Master'!K32</f>
        <v>170</v>
      </c>
      <c r="E32" s="7">
        <f>'01 Product Master'!L32</f>
        <v>160</v>
      </c>
      <c r="F32" s="7">
        <f>'01 Product Master'!M32</f>
        <v>160</v>
      </c>
      <c r="G32" s="7">
        <f>'01 Product Master'!N32</f>
        <v>150</v>
      </c>
      <c r="H32" s="7">
        <f>'01 Product Master'!O32</f>
        <v>0</v>
      </c>
      <c r="I32" s="7" t="str">
        <f>'01 Product Master'!P32</f>
        <v/>
      </c>
      <c r="J32" s="2" t="str">
        <f>'01 Product Master'!Q32</f>
        <v/>
      </c>
      <c r="K32" s="1"/>
    </row>
    <row r="33" spans="1:11" ht="16" x14ac:dyDescent="0.2">
      <c r="A33" s="1" t="str">
        <f>'01 Product Master'!A33</f>
        <v>SN-0032</v>
      </c>
      <c r="B33" s="1" t="str">
        <f>'01 Product Master'!C33</f>
        <v>Gaga Blackpapper</v>
      </c>
      <c r="C33" s="7">
        <f>'01 Product Master'!J33</f>
        <v>165</v>
      </c>
      <c r="D33" s="7">
        <f>'01 Product Master'!K33</f>
        <v>170</v>
      </c>
      <c r="E33" s="7">
        <f>'01 Product Master'!L33</f>
        <v>160</v>
      </c>
      <c r="F33" s="7">
        <f>'01 Product Master'!M33</f>
        <v>160</v>
      </c>
      <c r="G33" s="7">
        <f>'01 Product Master'!N33</f>
        <v>150</v>
      </c>
      <c r="H33" s="7">
        <f>'01 Product Master'!O33</f>
        <v>0</v>
      </c>
      <c r="I33" s="7" t="str">
        <f>'01 Product Master'!P33</f>
        <v/>
      </c>
      <c r="J33" s="2" t="str">
        <f>'01 Product Master'!Q33</f>
        <v/>
      </c>
      <c r="K33" s="1"/>
    </row>
    <row r="34" spans="1:11" ht="16" x14ac:dyDescent="0.2">
      <c r="A34" s="1" t="str">
        <f>'01 Product Master'!A34</f>
        <v>SN-0033</v>
      </c>
      <c r="B34" s="1" t="str">
        <f>'01 Product Master'!C34</f>
        <v>Indomie Sambal Rica</v>
      </c>
      <c r="C34" s="7" t="str">
        <f>'01 Product Master'!J34</f>
        <v/>
      </c>
      <c r="D34" s="7" t="str">
        <f>'01 Product Master'!K34</f>
        <v/>
      </c>
      <c r="E34" s="7" t="str">
        <f>'01 Product Master'!L34</f>
        <v/>
      </c>
      <c r="F34" s="7" t="str">
        <f>'01 Product Master'!M34</f>
        <v/>
      </c>
      <c r="G34" s="7" t="str">
        <f>'01 Product Master'!N34</f>
        <v/>
      </c>
      <c r="H34" s="7">
        <f>'01 Product Master'!O34</f>
        <v>0</v>
      </c>
      <c r="I34" s="7" t="str">
        <f>'01 Product Master'!P34</f>
        <v/>
      </c>
      <c r="J34" s="2" t="str">
        <f>'01 Product Master'!Q34</f>
        <v/>
      </c>
      <c r="K34" s="1"/>
    </row>
    <row r="35" spans="1:11" ht="16" x14ac:dyDescent="0.2">
      <c r="A35" s="1" t="str">
        <f>'01 Product Master'!A35</f>
        <v>SN-0034</v>
      </c>
      <c r="B35" s="1" t="str">
        <f>'01 Product Master'!C35</f>
        <v>ABC Selera Pedas</v>
      </c>
      <c r="C35" s="7">
        <f>'01 Product Master'!J35</f>
        <v>220</v>
      </c>
      <c r="D35" s="7">
        <f>'01 Product Master'!K35</f>
        <v>220</v>
      </c>
      <c r="E35" s="7">
        <f>'01 Product Master'!L35</f>
        <v>210</v>
      </c>
      <c r="F35" s="7">
        <f>'01 Product Master'!M35</f>
        <v>200</v>
      </c>
      <c r="G35" s="7">
        <f>'01 Product Master'!N35</f>
        <v>190</v>
      </c>
      <c r="H35" s="7">
        <f>'01 Product Master'!O35</f>
        <v>0</v>
      </c>
      <c r="I35" s="7" t="str">
        <f>'01 Product Master'!P35</f>
        <v/>
      </c>
      <c r="J35" s="2" t="str">
        <f>'01 Product Master'!Q35</f>
        <v/>
      </c>
      <c r="K35" s="1"/>
    </row>
    <row r="36" spans="1:11" ht="16" x14ac:dyDescent="0.2">
      <c r="A36" s="1" t="str">
        <f>'01 Product Master'!A36</f>
        <v>SN-0035</v>
      </c>
      <c r="B36" s="1" t="str">
        <f>'01 Product Master'!C36</f>
        <v>Sedaap Goreng Cup</v>
      </c>
      <c r="C36" s="7">
        <f>'01 Product Master'!J36</f>
        <v>232</v>
      </c>
      <c r="D36" s="7">
        <f>'01 Product Master'!K36</f>
        <v>230</v>
      </c>
      <c r="E36" s="7">
        <f>'01 Product Master'!L36</f>
        <v>220</v>
      </c>
      <c r="F36" s="7">
        <f>'01 Product Master'!M36</f>
        <v>210</v>
      </c>
      <c r="G36" s="7">
        <f>'01 Product Master'!N36</f>
        <v>200</v>
      </c>
      <c r="H36" s="7">
        <f>'01 Product Master'!O36</f>
        <v>0</v>
      </c>
      <c r="I36" s="7" t="str">
        <f>'01 Product Master'!P36</f>
        <v/>
      </c>
      <c r="J36" s="2" t="str">
        <f>'01 Product Master'!Q36</f>
        <v/>
      </c>
      <c r="K36" s="1"/>
    </row>
    <row r="37" spans="1:11" ht="16" x14ac:dyDescent="0.2">
      <c r="A37" s="1" t="str">
        <f>'01 Product Master'!A37</f>
        <v>SN-0036</v>
      </c>
      <c r="B37" s="1" t="str">
        <f>'01 Product Master'!C37</f>
        <v>Bamboe Gule</v>
      </c>
      <c r="C37" s="7">
        <f>'01 Product Master'!J37</f>
        <v>198</v>
      </c>
      <c r="D37" s="7">
        <f>'01 Product Master'!K37</f>
        <v>200</v>
      </c>
      <c r="E37" s="7">
        <f>'01 Product Master'!L37</f>
        <v>190</v>
      </c>
      <c r="F37" s="7">
        <f>'01 Product Master'!M37</f>
        <v>180</v>
      </c>
      <c r="G37" s="7">
        <f>'01 Product Master'!N37</f>
        <v>180</v>
      </c>
      <c r="H37" s="7">
        <f>'01 Product Master'!O37</f>
        <v>0</v>
      </c>
      <c r="I37" s="7" t="str">
        <f>'01 Product Master'!P37</f>
        <v/>
      </c>
      <c r="J37" s="2" t="str">
        <f>'01 Product Master'!Q37</f>
        <v/>
      </c>
      <c r="K37" s="1"/>
    </row>
    <row r="38" spans="1:11" ht="16" x14ac:dyDescent="0.2">
      <c r="A38" s="1" t="str">
        <f>'01 Product Master'!A38</f>
        <v>SN-0037</v>
      </c>
      <c r="B38" s="1" t="str">
        <f>'01 Product Master'!C38</f>
        <v>Bamboe Kare</v>
      </c>
      <c r="C38" s="7">
        <f>'01 Product Master'!J38</f>
        <v>198</v>
      </c>
      <c r="D38" s="7">
        <f>'01 Product Master'!K38</f>
        <v>200</v>
      </c>
      <c r="E38" s="7">
        <f>'01 Product Master'!L38</f>
        <v>190</v>
      </c>
      <c r="F38" s="7">
        <f>'01 Product Master'!M38</f>
        <v>180</v>
      </c>
      <c r="G38" s="7">
        <f>'01 Product Master'!N38</f>
        <v>180</v>
      </c>
      <c r="H38" s="7">
        <f>'01 Product Master'!O38</f>
        <v>0</v>
      </c>
      <c r="I38" s="7" t="str">
        <f>'01 Product Master'!P38</f>
        <v/>
      </c>
      <c r="J38" s="2" t="str">
        <f>'01 Product Master'!Q38</f>
        <v/>
      </c>
      <c r="K38" s="1"/>
    </row>
    <row r="39" spans="1:11" ht="16" x14ac:dyDescent="0.2">
      <c r="A39" s="1" t="str">
        <f>'01 Product Master'!A39</f>
        <v>SN-0038</v>
      </c>
      <c r="B39" s="1" t="str">
        <f>'01 Product Master'!C39</f>
        <v>Bamboe Kuah Bakso</v>
      </c>
      <c r="C39" s="7">
        <f>'01 Product Master'!J39</f>
        <v>198</v>
      </c>
      <c r="D39" s="7">
        <f>'01 Product Master'!K39</f>
        <v>200</v>
      </c>
      <c r="E39" s="7">
        <f>'01 Product Master'!L39</f>
        <v>190</v>
      </c>
      <c r="F39" s="7">
        <f>'01 Product Master'!M39</f>
        <v>180</v>
      </c>
      <c r="G39" s="7">
        <f>'01 Product Master'!N39</f>
        <v>180</v>
      </c>
      <c r="H39" s="7">
        <f>'01 Product Master'!O39</f>
        <v>0</v>
      </c>
      <c r="I39" s="7" t="str">
        <f>'01 Product Master'!P39</f>
        <v/>
      </c>
      <c r="J39" s="2" t="str">
        <f>'01 Product Master'!Q39</f>
        <v/>
      </c>
      <c r="K39" s="1"/>
    </row>
    <row r="40" spans="1:11" ht="16" x14ac:dyDescent="0.2">
      <c r="A40" s="1" t="str">
        <f>'01 Product Master'!A40</f>
        <v>SN-0039</v>
      </c>
      <c r="B40" s="1" t="str">
        <f>'01 Product Master'!C40</f>
        <v>Bamboe Nasi Goreng</v>
      </c>
      <c r="C40" s="7">
        <f>'01 Product Master'!J40</f>
        <v>198</v>
      </c>
      <c r="D40" s="7">
        <f>'01 Product Master'!K40</f>
        <v>200</v>
      </c>
      <c r="E40" s="7">
        <f>'01 Product Master'!L40</f>
        <v>190</v>
      </c>
      <c r="F40" s="7">
        <f>'01 Product Master'!M40</f>
        <v>180</v>
      </c>
      <c r="G40" s="7">
        <f>'01 Product Master'!N40</f>
        <v>180</v>
      </c>
      <c r="H40" s="7">
        <f>'01 Product Master'!O40</f>
        <v>0</v>
      </c>
      <c r="I40" s="7" t="str">
        <f>'01 Product Master'!P40</f>
        <v/>
      </c>
      <c r="J40" s="2" t="str">
        <f>'01 Product Master'!Q40</f>
        <v/>
      </c>
      <c r="K40" s="1"/>
    </row>
    <row r="41" spans="1:11" ht="16" x14ac:dyDescent="0.2">
      <c r="A41" s="1" t="str">
        <f>'01 Product Master'!A41</f>
        <v>SN-0040</v>
      </c>
      <c r="B41" s="1" t="str">
        <f>'01 Product Master'!C41</f>
        <v>Bamboe Nasi Goreng Pedas</v>
      </c>
      <c r="C41" s="7">
        <f>'01 Product Master'!J41</f>
        <v>198</v>
      </c>
      <c r="D41" s="7">
        <f>'01 Product Master'!K41</f>
        <v>200</v>
      </c>
      <c r="E41" s="7">
        <f>'01 Product Master'!L41</f>
        <v>190</v>
      </c>
      <c r="F41" s="7">
        <f>'01 Product Master'!M41</f>
        <v>180</v>
      </c>
      <c r="G41" s="7">
        <f>'01 Product Master'!N41</f>
        <v>180</v>
      </c>
      <c r="H41" s="7">
        <f>'01 Product Master'!O41</f>
        <v>0</v>
      </c>
      <c r="I41" s="7" t="str">
        <f>'01 Product Master'!P41</f>
        <v/>
      </c>
      <c r="J41" s="2" t="str">
        <f>'01 Product Master'!Q41</f>
        <v/>
      </c>
      <c r="K41" s="1"/>
    </row>
    <row r="42" spans="1:11" ht="16" x14ac:dyDescent="0.2">
      <c r="A42" s="1" t="str">
        <f>'01 Product Master'!A42</f>
        <v>SN-0041</v>
      </c>
      <c r="B42" s="1" t="str">
        <f>'01 Product Master'!C42</f>
        <v>Bamboe Opor</v>
      </c>
      <c r="C42" s="7">
        <f>'01 Product Master'!J42</f>
        <v>198</v>
      </c>
      <c r="D42" s="7">
        <f>'01 Product Master'!K42</f>
        <v>200</v>
      </c>
      <c r="E42" s="7">
        <f>'01 Product Master'!L42</f>
        <v>190</v>
      </c>
      <c r="F42" s="7">
        <f>'01 Product Master'!M42</f>
        <v>180</v>
      </c>
      <c r="G42" s="7">
        <f>'01 Product Master'!N42</f>
        <v>180</v>
      </c>
      <c r="H42" s="7">
        <f>'01 Product Master'!O42</f>
        <v>0</v>
      </c>
      <c r="I42" s="7" t="str">
        <f>'01 Product Master'!P42</f>
        <v/>
      </c>
      <c r="J42" s="2" t="str">
        <f>'01 Product Master'!Q42</f>
        <v/>
      </c>
      <c r="K42" s="1"/>
    </row>
    <row r="43" spans="1:11" ht="16" x14ac:dyDescent="0.2">
      <c r="A43" s="1" t="str">
        <f>'01 Product Master'!A43</f>
        <v>SN-0042</v>
      </c>
      <c r="B43" s="1" t="str">
        <f>'01 Product Master'!C43</f>
        <v>Bamboe Rendang</v>
      </c>
      <c r="C43" s="7">
        <f>'01 Product Master'!J43</f>
        <v>198</v>
      </c>
      <c r="D43" s="7">
        <f>'01 Product Master'!K43</f>
        <v>200</v>
      </c>
      <c r="E43" s="7">
        <f>'01 Product Master'!L43</f>
        <v>190</v>
      </c>
      <c r="F43" s="7">
        <f>'01 Product Master'!M43</f>
        <v>180</v>
      </c>
      <c r="G43" s="7">
        <f>'01 Product Master'!N43</f>
        <v>180</v>
      </c>
      <c r="H43" s="7">
        <f>'01 Product Master'!O43</f>
        <v>0</v>
      </c>
      <c r="I43" s="7" t="str">
        <f>'01 Product Master'!P43</f>
        <v/>
      </c>
      <c r="J43" s="2" t="str">
        <f>'01 Product Master'!Q43</f>
        <v/>
      </c>
      <c r="K43" s="1"/>
    </row>
    <row r="44" spans="1:11" ht="16" x14ac:dyDescent="0.2">
      <c r="A44" s="1" t="str">
        <f>'01 Product Master'!A44</f>
        <v>SN-0043</v>
      </c>
      <c r="B44" s="1" t="str">
        <f>'01 Product Master'!C44</f>
        <v>Bamboe Sambal Goreng Ati</v>
      </c>
      <c r="C44" s="7">
        <f>'01 Product Master'!J44</f>
        <v>198</v>
      </c>
      <c r="D44" s="7">
        <f>'01 Product Master'!K44</f>
        <v>200</v>
      </c>
      <c r="E44" s="7">
        <f>'01 Product Master'!L44</f>
        <v>190</v>
      </c>
      <c r="F44" s="7">
        <f>'01 Product Master'!M44</f>
        <v>180</v>
      </c>
      <c r="G44" s="7">
        <f>'01 Product Master'!N44</f>
        <v>180</v>
      </c>
      <c r="H44" s="7">
        <f>'01 Product Master'!O44</f>
        <v>0</v>
      </c>
      <c r="I44" s="7" t="str">
        <f>'01 Product Master'!P44</f>
        <v/>
      </c>
      <c r="J44" s="2" t="str">
        <f>'01 Product Master'!Q44</f>
        <v/>
      </c>
      <c r="K44" s="1"/>
    </row>
    <row r="45" spans="1:11" ht="16" x14ac:dyDescent="0.2">
      <c r="A45" s="1" t="str">
        <f>'01 Product Master'!A45</f>
        <v>SN-0044</v>
      </c>
      <c r="B45" s="1" t="str">
        <f>'01 Product Master'!C45</f>
        <v>Bamboe Sop</v>
      </c>
      <c r="C45" s="7">
        <f>'01 Product Master'!J45</f>
        <v>198</v>
      </c>
      <c r="D45" s="7">
        <f>'01 Product Master'!K45</f>
        <v>200</v>
      </c>
      <c r="E45" s="7">
        <f>'01 Product Master'!L45</f>
        <v>190</v>
      </c>
      <c r="F45" s="7">
        <f>'01 Product Master'!M45</f>
        <v>180</v>
      </c>
      <c r="G45" s="7">
        <f>'01 Product Master'!N45</f>
        <v>180</v>
      </c>
      <c r="H45" s="7">
        <f>'01 Product Master'!O45</f>
        <v>0</v>
      </c>
      <c r="I45" s="7" t="str">
        <f>'01 Product Master'!P45</f>
        <v/>
      </c>
      <c r="J45" s="2" t="str">
        <f>'01 Product Master'!Q45</f>
        <v/>
      </c>
      <c r="K45" s="1"/>
    </row>
    <row r="46" spans="1:11" ht="16" x14ac:dyDescent="0.2">
      <c r="A46" s="1" t="str">
        <f>'01 Product Master'!A46</f>
        <v>SN-0045</v>
      </c>
      <c r="B46" s="1" t="str">
        <f>'01 Product Master'!C46</f>
        <v>Bamboe Soto Ayam</v>
      </c>
      <c r="C46" s="7">
        <f>'01 Product Master'!J46</f>
        <v>198</v>
      </c>
      <c r="D46" s="7">
        <f>'01 Product Master'!K46</f>
        <v>200</v>
      </c>
      <c r="E46" s="7">
        <f>'01 Product Master'!L46</f>
        <v>190</v>
      </c>
      <c r="F46" s="7">
        <f>'01 Product Master'!M46</f>
        <v>180</v>
      </c>
      <c r="G46" s="7">
        <f>'01 Product Master'!N46</f>
        <v>180</v>
      </c>
      <c r="H46" s="7">
        <f>'01 Product Master'!O46</f>
        <v>0</v>
      </c>
      <c r="I46" s="7" t="str">
        <f>'01 Product Master'!P46</f>
        <v/>
      </c>
      <c r="J46" s="2" t="str">
        <f>'01 Product Master'!Q46</f>
        <v/>
      </c>
      <c r="K46" s="1"/>
    </row>
    <row r="47" spans="1:11" ht="16" x14ac:dyDescent="0.2">
      <c r="A47" s="1" t="str">
        <f>'01 Product Master'!A47</f>
        <v>SN-0046</v>
      </c>
      <c r="B47" s="1" t="str">
        <f>'01 Product Master'!C47</f>
        <v>Bamboe Soto Betawi</v>
      </c>
      <c r="C47" s="7">
        <f>'01 Product Master'!J47</f>
        <v>198</v>
      </c>
      <c r="D47" s="7">
        <f>'01 Product Master'!K47</f>
        <v>200</v>
      </c>
      <c r="E47" s="7">
        <f>'01 Product Master'!L47</f>
        <v>190</v>
      </c>
      <c r="F47" s="7">
        <f>'01 Product Master'!M47</f>
        <v>180</v>
      </c>
      <c r="G47" s="7">
        <f>'01 Product Master'!N47</f>
        <v>180</v>
      </c>
      <c r="H47" s="7">
        <f>'01 Product Master'!O47</f>
        <v>0</v>
      </c>
      <c r="I47" s="7" t="str">
        <f>'01 Product Master'!P47</f>
        <v/>
      </c>
      <c r="J47" s="2" t="str">
        <f>'01 Product Master'!Q47</f>
        <v/>
      </c>
      <c r="K47" s="1"/>
    </row>
    <row r="48" spans="1:11" ht="16" x14ac:dyDescent="0.2">
      <c r="A48" s="1" t="str">
        <f>'01 Product Master'!A48</f>
        <v>SN-0047</v>
      </c>
      <c r="B48" s="1" t="str">
        <f>'01 Product Master'!C48</f>
        <v>Bamboe Soto daging</v>
      </c>
      <c r="C48" s="7">
        <f>'01 Product Master'!J48</f>
        <v>198</v>
      </c>
      <c r="D48" s="7">
        <f>'01 Product Master'!K48</f>
        <v>200</v>
      </c>
      <c r="E48" s="7">
        <f>'01 Product Master'!L48</f>
        <v>190</v>
      </c>
      <c r="F48" s="7">
        <f>'01 Product Master'!M48</f>
        <v>180</v>
      </c>
      <c r="G48" s="7">
        <f>'01 Product Master'!N48</f>
        <v>180</v>
      </c>
      <c r="H48" s="7">
        <f>'01 Product Master'!O48</f>
        <v>0</v>
      </c>
      <c r="I48" s="7" t="str">
        <f>'01 Product Master'!P48</f>
        <v/>
      </c>
      <c r="J48" s="2" t="str">
        <f>'01 Product Master'!Q48</f>
        <v/>
      </c>
      <c r="K48" s="1"/>
    </row>
    <row r="49" spans="1:11" ht="16" x14ac:dyDescent="0.2">
      <c r="A49" s="1" t="str">
        <f>'01 Product Master'!A49</f>
        <v>SN-0048</v>
      </c>
      <c r="B49" s="1" t="str">
        <f>'01 Product Master'!C49</f>
        <v>Bamboe Tongseng</v>
      </c>
      <c r="C49" s="7">
        <f>'01 Product Master'!J49</f>
        <v>198</v>
      </c>
      <c r="D49" s="7">
        <f>'01 Product Master'!K49</f>
        <v>200</v>
      </c>
      <c r="E49" s="7">
        <f>'01 Product Master'!L49</f>
        <v>190</v>
      </c>
      <c r="F49" s="7">
        <f>'01 Product Master'!M49</f>
        <v>180</v>
      </c>
      <c r="G49" s="7">
        <f>'01 Product Master'!N49</f>
        <v>180</v>
      </c>
      <c r="H49" s="7">
        <f>'01 Product Master'!O49</f>
        <v>0</v>
      </c>
      <c r="I49" s="7" t="str">
        <f>'01 Product Master'!P49</f>
        <v/>
      </c>
      <c r="J49" s="2" t="str">
        <f>'01 Product Master'!Q49</f>
        <v/>
      </c>
      <c r="K49" s="1"/>
    </row>
    <row r="50" spans="1:11" ht="16" x14ac:dyDescent="0.2">
      <c r="A50" s="1" t="str">
        <f>'01 Product Master'!A50</f>
        <v>SN-0049</v>
      </c>
      <c r="B50" s="1" t="str">
        <f>'01 Product Master'!C50</f>
        <v>Racik Ayam Goreng</v>
      </c>
      <c r="C50" s="7">
        <f>'01 Product Master'!J50</f>
        <v>120</v>
      </c>
      <c r="D50" s="7">
        <f>'01 Product Master'!K50</f>
        <v>120</v>
      </c>
      <c r="E50" s="7">
        <f>'01 Product Master'!L50</f>
        <v>110</v>
      </c>
      <c r="F50" s="7">
        <f>'01 Product Master'!M50</f>
        <v>110</v>
      </c>
      <c r="G50" s="7">
        <f>'01 Product Master'!N50</f>
        <v>110</v>
      </c>
      <c r="H50" s="7">
        <f>'01 Product Master'!O50</f>
        <v>0</v>
      </c>
      <c r="I50" s="7" t="str">
        <f>'01 Product Master'!P50</f>
        <v/>
      </c>
      <c r="J50" s="2" t="str">
        <f>'01 Product Master'!Q50</f>
        <v/>
      </c>
      <c r="K50" s="1"/>
    </row>
    <row r="51" spans="1:11" ht="16" x14ac:dyDescent="0.2">
      <c r="A51" s="1" t="str">
        <f>'01 Product Master'!A51</f>
        <v>SN-0050</v>
      </c>
      <c r="B51" s="1" t="str">
        <f>'01 Product Master'!C51</f>
        <v>Racik Ikan Goreng</v>
      </c>
      <c r="C51" s="7">
        <f>'01 Product Master'!J51</f>
        <v>120</v>
      </c>
      <c r="D51" s="7">
        <f>'01 Product Master'!K51</f>
        <v>120</v>
      </c>
      <c r="E51" s="7">
        <f>'01 Product Master'!L51</f>
        <v>110</v>
      </c>
      <c r="F51" s="7">
        <f>'01 Product Master'!M51</f>
        <v>110</v>
      </c>
      <c r="G51" s="7">
        <f>'01 Product Master'!N51</f>
        <v>110</v>
      </c>
      <c r="H51" s="7">
        <f>'01 Product Master'!O51</f>
        <v>0</v>
      </c>
      <c r="I51" s="7" t="str">
        <f>'01 Product Master'!P51</f>
        <v/>
      </c>
      <c r="J51" s="2" t="str">
        <f>'01 Product Master'!Q51</f>
        <v/>
      </c>
      <c r="K51" s="1"/>
    </row>
    <row r="52" spans="1:11" ht="16" x14ac:dyDescent="0.2">
      <c r="A52" s="1" t="str">
        <f>'01 Product Master'!A52</f>
        <v>SN-0051</v>
      </c>
      <c r="B52" s="1" t="str">
        <f>'01 Product Master'!C52</f>
        <v>Racik Lodeh</v>
      </c>
      <c r="C52" s="7">
        <f>'01 Product Master'!J52</f>
        <v>120</v>
      </c>
      <c r="D52" s="7">
        <f>'01 Product Master'!K52</f>
        <v>120</v>
      </c>
      <c r="E52" s="7">
        <f>'01 Product Master'!L52</f>
        <v>110</v>
      </c>
      <c r="F52" s="7">
        <f>'01 Product Master'!M52</f>
        <v>110</v>
      </c>
      <c r="G52" s="7">
        <f>'01 Product Master'!N52</f>
        <v>110</v>
      </c>
      <c r="H52" s="7">
        <f>'01 Product Master'!O52</f>
        <v>0</v>
      </c>
      <c r="I52" s="7" t="str">
        <f>'01 Product Master'!P52</f>
        <v/>
      </c>
      <c r="J52" s="2" t="str">
        <f>'01 Product Master'!Q52</f>
        <v/>
      </c>
      <c r="K52" s="1"/>
    </row>
    <row r="53" spans="1:11" ht="16" x14ac:dyDescent="0.2">
      <c r="A53" s="1" t="str">
        <f>'01 Product Master'!A53</f>
        <v>SN-0052</v>
      </c>
      <c r="B53" s="1" t="str">
        <f>'01 Product Master'!C53</f>
        <v>Racik Nasi Goreng</v>
      </c>
      <c r="C53" s="7">
        <f>'01 Product Master'!J53</f>
        <v>120</v>
      </c>
      <c r="D53" s="7">
        <f>'01 Product Master'!K53</f>
        <v>120</v>
      </c>
      <c r="E53" s="7">
        <f>'01 Product Master'!L53</f>
        <v>110</v>
      </c>
      <c r="F53" s="7">
        <f>'01 Product Master'!M53</f>
        <v>110</v>
      </c>
      <c r="G53" s="7">
        <f>'01 Product Master'!N53</f>
        <v>110</v>
      </c>
      <c r="H53" s="7">
        <f>'01 Product Master'!O53</f>
        <v>0</v>
      </c>
      <c r="I53" s="7" t="str">
        <f>'01 Product Master'!P53</f>
        <v/>
      </c>
      <c r="J53" s="2" t="str">
        <f>'01 Product Master'!Q53</f>
        <v/>
      </c>
      <c r="K53" s="1"/>
    </row>
    <row r="54" spans="1:11" ht="16" x14ac:dyDescent="0.2">
      <c r="A54" s="1" t="str">
        <f>'01 Product Master'!A54</f>
        <v>SN-0053</v>
      </c>
      <c r="B54" s="1" t="str">
        <f>'01 Product Master'!C54</f>
        <v>Racik Sayur Asem</v>
      </c>
      <c r="C54" s="7">
        <f>'01 Product Master'!J54</f>
        <v>120</v>
      </c>
      <c r="D54" s="7">
        <f>'01 Product Master'!K54</f>
        <v>120</v>
      </c>
      <c r="E54" s="7">
        <f>'01 Product Master'!L54</f>
        <v>110</v>
      </c>
      <c r="F54" s="7">
        <f>'01 Product Master'!M54</f>
        <v>110</v>
      </c>
      <c r="G54" s="7">
        <f>'01 Product Master'!N54</f>
        <v>110</v>
      </c>
      <c r="H54" s="7">
        <f>'01 Product Master'!O54</f>
        <v>0</v>
      </c>
      <c r="I54" s="7" t="str">
        <f>'01 Product Master'!P54</f>
        <v/>
      </c>
      <c r="J54" s="2" t="str">
        <f>'01 Product Master'!Q54</f>
        <v/>
      </c>
      <c r="K54" s="1"/>
    </row>
    <row r="55" spans="1:11" ht="16" x14ac:dyDescent="0.2">
      <c r="A55" s="1" t="str">
        <f>'01 Product Master'!A55</f>
        <v>SN-0054</v>
      </c>
      <c r="B55" s="1" t="str">
        <f>'01 Product Master'!C55</f>
        <v>Racik Tahu Tempe</v>
      </c>
      <c r="C55" s="7">
        <f>'01 Product Master'!J55</f>
        <v>120</v>
      </c>
      <c r="D55" s="7">
        <f>'01 Product Master'!K55</f>
        <v>120</v>
      </c>
      <c r="E55" s="7">
        <f>'01 Product Master'!L55</f>
        <v>110</v>
      </c>
      <c r="F55" s="7">
        <f>'01 Product Master'!M55</f>
        <v>110</v>
      </c>
      <c r="G55" s="7">
        <f>'01 Product Master'!N55</f>
        <v>110</v>
      </c>
      <c r="H55" s="7">
        <f>'01 Product Master'!O55</f>
        <v>0</v>
      </c>
      <c r="I55" s="7" t="str">
        <f>'01 Product Master'!P55</f>
        <v/>
      </c>
      <c r="J55" s="2" t="str">
        <f>'01 Product Master'!Q55</f>
        <v/>
      </c>
      <c r="K55" s="1"/>
    </row>
    <row r="56" spans="1:11" ht="16" x14ac:dyDescent="0.2">
      <c r="A56" s="1" t="str">
        <f>'01 Product Master'!A56</f>
        <v>SN-0055</v>
      </c>
      <c r="B56" s="1" t="str">
        <f>'01 Product Master'!C56</f>
        <v>Kobe Nasi Kuning 1 Pack 3pcs</v>
      </c>
      <c r="C56" s="7">
        <f>'01 Product Master'!J56</f>
        <v>465</v>
      </c>
      <c r="D56" s="7">
        <f>'01 Product Master'!K56</f>
        <v>470</v>
      </c>
      <c r="E56" s="7">
        <f>'01 Product Master'!L56</f>
        <v>450</v>
      </c>
      <c r="F56" s="7">
        <f>'01 Product Master'!M56</f>
        <v>430</v>
      </c>
      <c r="G56" s="7">
        <f>'01 Product Master'!N56</f>
        <v>410</v>
      </c>
      <c r="H56" s="7">
        <f>'01 Product Master'!O56</f>
        <v>0</v>
      </c>
      <c r="I56" s="7" t="str">
        <f>'01 Product Master'!P56</f>
        <v/>
      </c>
      <c r="J56" s="2" t="str">
        <f>'01 Product Master'!Q56</f>
        <v/>
      </c>
      <c r="K56" s="1"/>
    </row>
    <row r="57" spans="1:11" ht="16" x14ac:dyDescent="0.2">
      <c r="A57" s="1" t="str">
        <f>'01 Product Master'!A57</f>
        <v>SN-0056</v>
      </c>
      <c r="B57" s="1" t="str">
        <f>'01 Product Master'!C57</f>
        <v xml:space="preserve">Kobe Nasi Kuning </v>
      </c>
      <c r="C57" s="7">
        <f>'01 Product Master'!J57</f>
        <v>465</v>
      </c>
      <c r="D57" s="7">
        <f>'01 Product Master'!K57</f>
        <v>470</v>
      </c>
      <c r="E57" s="7">
        <f>'01 Product Master'!L57</f>
        <v>450</v>
      </c>
      <c r="F57" s="7">
        <f>'01 Product Master'!M57</f>
        <v>430</v>
      </c>
      <c r="G57" s="7">
        <f>'01 Product Master'!N57</f>
        <v>410</v>
      </c>
      <c r="H57" s="7">
        <f>'01 Product Master'!O57</f>
        <v>0</v>
      </c>
      <c r="I57" s="7" t="str">
        <f>'01 Product Master'!P57</f>
        <v/>
      </c>
      <c r="J57" s="2" t="str">
        <f>'01 Product Master'!Q57</f>
        <v/>
      </c>
      <c r="K57" s="1"/>
    </row>
    <row r="58" spans="1:11" ht="16" x14ac:dyDescent="0.2">
      <c r="A58" s="1" t="str">
        <f>'01 Product Master'!A58</f>
        <v>SN-0057</v>
      </c>
      <c r="B58" s="1" t="str">
        <f>'01 Product Master'!C58</f>
        <v>KOKITA Bumbu Inti A</v>
      </c>
      <c r="C58" s="7">
        <f>'01 Product Master'!J58</f>
        <v>821</v>
      </c>
      <c r="D58" s="7">
        <f>'01 Product Master'!K58</f>
        <v>820</v>
      </c>
      <c r="E58" s="7">
        <f>'01 Product Master'!L58</f>
        <v>780</v>
      </c>
      <c r="F58" s="7">
        <f>'01 Product Master'!M58</f>
        <v>750</v>
      </c>
      <c r="G58" s="7">
        <f>'01 Product Master'!N58</f>
        <v>720</v>
      </c>
      <c r="H58" s="7">
        <f>'01 Product Master'!O58</f>
        <v>0</v>
      </c>
      <c r="I58" s="7" t="str">
        <f>'01 Product Master'!P58</f>
        <v/>
      </c>
      <c r="J58" s="2" t="str">
        <f>'01 Product Master'!Q58</f>
        <v/>
      </c>
      <c r="K58" s="1"/>
    </row>
    <row r="59" spans="1:11" ht="16" x14ac:dyDescent="0.2">
      <c r="A59" s="1" t="str">
        <f>'01 Product Master'!A59</f>
        <v>SN-0058</v>
      </c>
      <c r="B59" s="1" t="str">
        <f>'01 Product Master'!C59</f>
        <v>KOKITA Bumbu Inti B</v>
      </c>
      <c r="C59" s="7">
        <f>'01 Product Master'!J59</f>
        <v>821</v>
      </c>
      <c r="D59" s="7">
        <f>'01 Product Master'!K59</f>
        <v>820</v>
      </c>
      <c r="E59" s="7">
        <f>'01 Product Master'!L59</f>
        <v>780</v>
      </c>
      <c r="F59" s="7">
        <f>'01 Product Master'!M59</f>
        <v>750</v>
      </c>
      <c r="G59" s="7">
        <f>'01 Product Master'!N59</f>
        <v>720</v>
      </c>
      <c r="H59" s="7">
        <f>'01 Product Master'!O59</f>
        <v>0</v>
      </c>
      <c r="I59" s="7" t="str">
        <f>'01 Product Master'!P59</f>
        <v/>
      </c>
      <c r="J59" s="2" t="str">
        <f>'01 Product Master'!Q59</f>
        <v/>
      </c>
      <c r="K59" s="1"/>
    </row>
    <row r="60" spans="1:11" ht="16" x14ac:dyDescent="0.2">
      <c r="A60" s="1" t="str">
        <f>'01 Product Master'!A60</f>
        <v>SN-0059</v>
      </c>
      <c r="B60" s="1" t="str">
        <f>'01 Product Master'!C60</f>
        <v>KOKITA Bumbu Inti C</v>
      </c>
      <c r="C60" s="7">
        <f>'01 Product Master'!J60</f>
        <v>821</v>
      </c>
      <c r="D60" s="7">
        <f>'01 Product Master'!K60</f>
        <v>820</v>
      </c>
      <c r="E60" s="7">
        <f>'01 Product Master'!L60</f>
        <v>780</v>
      </c>
      <c r="F60" s="7">
        <f>'01 Product Master'!M60</f>
        <v>750</v>
      </c>
      <c r="G60" s="7">
        <f>'01 Product Master'!N60</f>
        <v>720</v>
      </c>
      <c r="H60" s="7">
        <f>'01 Product Master'!O60</f>
        <v>0</v>
      </c>
      <c r="I60" s="7" t="str">
        <f>'01 Product Master'!P60</f>
        <v/>
      </c>
      <c r="J60" s="2" t="str">
        <f>'01 Product Master'!Q60</f>
        <v/>
      </c>
      <c r="K60" s="1"/>
    </row>
    <row r="61" spans="1:11" ht="16" x14ac:dyDescent="0.2">
      <c r="A61" s="1" t="str">
        <f>'01 Product Master'!A61</f>
        <v>SN-0060</v>
      </c>
      <c r="B61" s="1" t="str">
        <f>'01 Product Master'!C61</f>
        <v>KOKITA Bumbu Inti D</v>
      </c>
      <c r="C61" s="7">
        <f>'01 Product Master'!J61</f>
        <v>821</v>
      </c>
      <c r="D61" s="7">
        <f>'01 Product Master'!K61</f>
        <v>820</v>
      </c>
      <c r="E61" s="7">
        <f>'01 Product Master'!L61</f>
        <v>780</v>
      </c>
      <c r="F61" s="7">
        <f>'01 Product Master'!M61</f>
        <v>750</v>
      </c>
      <c r="G61" s="7">
        <f>'01 Product Master'!N61</f>
        <v>720</v>
      </c>
      <c r="H61" s="7">
        <f>'01 Product Master'!O61</f>
        <v>0</v>
      </c>
      <c r="I61" s="7" t="str">
        <f>'01 Product Master'!P61</f>
        <v/>
      </c>
      <c r="J61" s="2" t="str">
        <f>'01 Product Master'!Q61</f>
        <v/>
      </c>
      <c r="K61" s="1"/>
    </row>
    <row r="62" spans="1:11" ht="16" x14ac:dyDescent="0.2">
      <c r="A62" s="1" t="str">
        <f>'01 Product Master'!A62</f>
        <v>SN-0061</v>
      </c>
      <c r="B62" s="1" t="str">
        <f>'01 Product Master'!C62</f>
        <v>Antaka Balado</v>
      </c>
      <c r="C62" s="7">
        <f>'01 Product Master'!J62</f>
        <v>475</v>
      </c>
      <c r="D62" s="7">
        <f>'01 Product Master'!K62</f>
        <v>480</v>
      </c>
      <c r="E62" s="7">
        <f>'01 Product Master'!L62</f>
        <v>460</v>
      </c>
      <c r="F62" s="7">
        <f>'01 Product Master'!M62</f>
        <v>440</v>
      </c>
      <c r="G62" s="7">
        <f>'01 Product Master'!N62</f>
        <v>420</v>
      </c>
      <c r="H62" s="7">
        <f>'01 Product Master'!O62</f>
        <v>0</v>
      </c>
      <c r="I62" s="7" t="str">
        <f>'01 Product Master'!P62</f>
        <v/>
      </c>
      <c r="J62" s="2" t="str">
        <f>'01 Product Master'!Q62</f>
        <v/>
      </c>
      <c r="K62" s="1"/>
    </row>
    <row r="63" spans="1:11" ht="16" x14ac:dyDescent="0.2">
      <c r="A63" s="1" t="str">
        <f>'01 Product Master'!A63</f>
        <v>SN-0062</v>
      </c>
      <c r="B63" s="1" t="str">
        <f>'01 Product Master'!C63</f>
        <v>Bamboe Ayam Goreng</v>
      </c>
      <c r="C63" s="7">
        <f>'01 Product Master'!J63</f>
        <v>173</v>
      </c>
      <c r="D63" s="7">
        <f>'01 Product Master'!K63</f>
        <v>170</v>
      </c>
      <c r="E63" s="7">
        <f>'01 Product Master'!L63</f>
        <v>160</v>
      </c>
      <c r="F63" s="7">
        <f>'01 Product Master'!M63</f>
        <v>160</v>
      </c>
      <c r="G63" s="7">
        <f>'01 Product Master'!N63</f>
        <v>150</v>
      </c>
      <c r="H63" s="7">
        <f>'01 Product Master'!O63</f>
        <v>0</v>
      </c>
      <c r="I63" s="7" t="str">
        <f>'01 Product Master'!P63</f>
        <v/>
      </c>
      <c r="J63" s="2" t="str">
        <f>'01 Product Master'!Q63</f>
        <v/>
      </c>
      <c r="K63" s="1"/>
    </row>
    <row r="64" spans="1:11" ht="16" x14ac:dyDescent="0.2">
      <c r="A64" s="1" t="str">
        <f>'01 Product Master'!A64</f>
        <v>SN-0063</v>
      </c>
      <c r="B64" s="1" t="str">
        <f>'01 Product Master'!C64</f>
        <v>Bamboe Ayam Bakar Rujak</v>
      </c>
      <c r="C64" s="7">
        <f>'01 Product Master'!J64</f>
        <v>172</v>
      </c>
      <c r="D64" s="7">
        <f>'01 Product Master'!K64</f>
        <v>170</v>
      </c>
      <c r="E64" s="7">
        <f>'01 Product Master'!L64</f>
        <v>160</v>
      </c>
      <c r="F64" s="7">
        <f>'01 Product Master'!M64</f>
        <v>160</v>
      </c>
      <c r="G64" s="7">
        <f>'01 Product Master'!N64</f>
        <v>150</v>
      </c>
      <c r="H64" s="7">
        <f>'01 Product Master'!O64</f>
        <v>0</v>
      </c>
      <c r="I64" s="7" t="str">
        <f>'01 Product Master'!P64</f>
        <v/>
      </c>
      <c r="J64" s="2" t="str">
        <f>'01 Product Master'!Q64</f>
        <v/>
      </c>
      <c r="K64" s="1"/>
    </row>
    <row r="65" spans="1:11" ht="16" x14ac:dyDescent="0.2">
      <c r="A65" s="1" t="str">
        <f>'01 Product Master'!A65</f>
        <v>SN-0064</v>
      </c>
      <c r="B65" s="1" t="str">
        <f>'01 Product Master'!C65</f>
        <v>Racik Rendang</v>
      </c>
      <c r="C65" s="7" t="str">
        <f>'01 Product Master'!J65</f>
        <v/>
      </c>
      <c r="D65" s="7" t="str">
        <f>'01 Product Master'!K65</f>
        <v/>
      </c>
      <c r="E65" s="7" t="str">
        <f>'01 Product Master'!L65</f>
        <v/>
      </c>
      <c r="F65" s="7" t="str">
        <f>'01 Product Master'!M65</f>
        <v/>
      </c>
      <c r="G65" s="7" t="str">
        <f>'01 Product Master'!N65</f>
        <v/>
      </c>
      <c r="H65" s="7">
        <f>'01 Product Master'!O65</f>
        <v>0</v>
      </c>
      <c r="I65" s="7" t="str">
        <f>'01 Product Master'!P65</f>
        <v/>
      </c>
      <c r="J65" s="2" t="str">
        <f>'01 Product Master'!Q65</f>
        <v/>
      </c>
      <c r="K65" s="1"/>
    </row>
    <row r="66" spans="1:11" ht="16" x14ac:dyDescent="0.2">
      <c r="A66" s="1" t="str">
        <f>'01 Product Master'!A66</f>
        <v>SN-0065</v>
      </c>
      <c r="B66" s="1" t="str">
        <f>'01 Product Master'!C66</f>
        <v>Racik Ayam Goreng Rempah</v>
      </c>
      <c r="C66" s="7" t="str">
        <f>'01 Product Master'!J66</f>
        <v/>
      </c>
      <c r="D66" s="7" t="str">
        <f>'01 Product Master'!K66</f>
        <v/>
      </c>
      <c r="E66" s="7" t="str">
        <f>'01 Product Master'!L66</f>
        <v/>
      </c>
      <c r="F66" s="7" t="str">
        <f>'01 Product Master'!M66</f>
        <v/>
      </c>
      <c r="G66" s="7" t="str">
        <f>'01 Product Master'!N66</f>
        <v/>
      </c>
      <c r="H66" s="7">
        <f>'01 Product Master'!O66</f>
        <v>0</v>
      </c>
      <c r="I66" s="7" t="str">
        <f>'01 Product Master'!P66</f>
        <v/>
      </c>
      <c r="J66" s="2" t="str">
        <f>'01 Product Master'!Q66</f>
        <v/>
      </c>
      <c r="K66" s="1"/>
    </row>
    <row r="67" spans="1:11" ht="16" x14ac:dyDescent="0.2">
      <c r="A67" s="1" t="str">
        <f>'01 Product Master'!A67</f>
        <v>SN-0066</v>
      </c>
      <c r="B67" s="1" t="str">
        <f>'01 Product Master'!C67</f>
        <v>Bamboe Ayam Kecap</v>
      </c>
      <c r="C67" s="7">
        <f>'01 Product Master'!J67</f>
        <v>173</v>
      </c>
      <c r="D67" s="7">
        <f>'01 Product Master'!K67</f>
        <v>170</v>
      </c>
      <c r="E67" s="7">
        <f>'01 Product Master'!L67</f>
        <v>160</v>
      </c>
      <c r="F67" s="7">
        <f>'01 Product Master'!M67</f>
        <v>160</v>
      </c>
      <c r="G67" s="7">
        <f>'01 Product Master'!N67</f>
        <v>150</v>
      </c>
      <c r="H67" s="7">
        <f>'01 Product Master'!O67</f>
        <v>0</v>
      </c>
      <c r="I67" s="7" t="str">
        <f>'01 Product Master'!P67</f>
        <v/>
      </c>
      <c r="J67" s="2" t="str">
        <f>'01 Product Master'!Q67</f>
        <v/>
      </c>
      <c r="K67" s="1"/>
    </row>
    <row r="68" spans="1:11" ht="16" x14ac:dyDescent="0.2">
      <c r="A68" s="1" t="str">
        <f>'01 Product Master'!A68</f>
        <v>SN-0067</v>
      </c>
      <c r="B68" s="1" t="str">
        <f>'01 Product Master'!C68</f>
        <v>Bamboe Rica-Rica</v>
      </c>
      <c r="C68" s="7">
        <f>'01 Product Master'!J68</f>
        <v>173</v>
      </c>
      <c r="D68" s="7">
        <f>'01 Product Master'!K68</f>
        <v>170</v>
      </c>
      <c r="E68" s="7">
        <f>'01 Product Master'!L68</f>
        <v>160</v>
      </c>
      <c r="F68" s="7">
        <f>'01 Product Master'!M68</f>
        <v>160</v>
      </c>
      <c r="G68" s="7">
        <f>'01 Product Master'!N68</f>
        <v>150</v>
      </c>
      <c r="H68" s="7">
        <f>'01 Product Master'!O68</f>
        <v>0</v>
      </c>
      <c r="I68" s="7" t="str">
        <f>'01 Product Master'!P68</f>
        <v/>
      </c>
      <c r="J68" s="2" t="str">
        <f>'01 Product Master'!Q68</f>
        <v/>
      </c>
      <c r="K68" s="1"/>
    </row>
    <row r="69" spans="1:11" ht="16" x14ac:dyDescent="0.2">
      <c r="A69" s="1" t="str">
        <f>'01 Product Master'!A69</f>
        <v>SN-0068</v>
      </c>
      <c r="B69" s="1" t="str">
        <f>'01 Product Master'!C69</f>
        <v>Kobe Nasi Uduk</v>
      </c>
      <c r="C69" s="7">
        <f>'01 Product Master'!J69</f>
        <v>465</v>
      </c>
      <c r="D69" s="7">
        <f>'01 Product Master'!K69</f>
        <v>470</v>
      </c>
      <c r="E69" s="7">
        <f>'01 Product Master'!L69</f>
        <v>450</v>
      </c>
      <c r="F69" s="7">
        <f>'01 Product Master'!M69</f>
        <v>430</v>
      </c>
      <c r="G69" s="7">
        <f>'01 Product Master'!N69</f>
        <v>410</v>
      </c>
      <c r="H69" s="7">
        <f>'01 Product Master'!O69</f>
        <v>0</v>
      </c>
      <c r="I69" s="7" t="str">
        <f>'01 Product Master'!P69</f>
        <v/>
      </c>
      <c r="J69" s="2" t="str">
        <f>'01 Product Master'!Q69</f>
        <v/>
      </c>
      <c r="K69" s="1"/>
    </row>
    <row r="70" spans="1:11" ht="16" x14ac:dyDescent="0.2">
      <c r="A70" s="1" t="str">
        <f>'01 Product Master'!A70</f>
        <v>SN-0069</v>
      </c>
      <c r="B70" s="1" t="str">
        <f>'01 Product Master'!C70</f>
        <v>Kobe Rendang</v>
      </c>
      <c r="C70" s="7">
        <f>'01 Product Master'!J70</f>
        <v>465</v>
      </c>
      <c r="D70" s="7">
        <f>'01 Product Master'!K70</f>
        <v>470</v>
      </c>
      <c r="E70" s="7">
        <f>'01 Product Master'!L70</f>
        <v>450</v>
      </c>
      <c r="F70" s="7">
        <f>'01 Product Master'!M70</f>
        <v>430</v>
      </c>
      <c r="G70" s="7">
        <f>'01 Product Master'!N70</f>
        <v>410</v>
      </c>
      <c r="H70" s="7">
        <f>'01 Product Master'!O70</f>
        <v>0</v>
      </c>
      <c r="I70" s="7" t="str">
        <f>'01 Product Master'!P70</f>
        <v/>
      </c>
      <c r="J70" s="2" t="str">
        <f>'01 Product Master'!Q70</f>
        <v/>
      </c>
      <c r="K70" s="1"/>
    </row>
    <row r="71" spans="1:11" ht="16" x14ac:dyDescent="0.2">
      <c r="A71" s="1" t="str">
        <f>'01 Product Master'!A71</f>
        <v>SN-0070</v>
      </c>
      <c r="B71" s="1" t="str">
        <f>'01 Product Master'!C71</f>
        <v>Kobe Nasi Kuning</v>
      </c>
      <c r="C71" s="7">
        <f>'01 Product Master'!J71</f>
        <v>435</v>
      </c>
      <c r="D71" s="7">
        <f>'01 Product Master'!K71</f>
        <v>440</v>
      </c>
      <c r="E71" s="7">
        <f>'01 Product Master'!L71</f>
        <v>420</v>
      </c>
      <c r="F71" s="7">
        <f>'01 Product Master'!M71</f>
        <v>400</v>
      </c>
      <c r="G71" s="7">
        <f>'01 Product Master'!N71</f>
        <v>390</v>
      </c>
      <c r="H71" s="7">
        <f>'01 Product Master'!O71</f>
        <v>0</v>
      </c>
      <c r="I71" s="7" t="str">
        <f>'01 Product Master'!P71</f>
        <v/>
      </c>
      <c r="J71" s="2" t="str">
        <f>'01 Product Master'!Q71</f>
        <v/>
      </c>
      <c r="K71" s="1"/>
    </row>
    <row r="72" spans="1:11" ht="16" x14ac:dyDescent="0.2">
      <c r="A72" s="1" t="str">
        <f>'01 Product Master'!A72</f>
        <v>SN-0071</v>
      </c>
      <c r="B72" s="1" t="str">
        <f>'01 Product Master'!C72</f>
        <v>Totole Kaldu Jamur</v>
      </c>
      <c r="C72" s="7">
        <f>'01 Product Master'!J72</f>
        <v>400</v>
      </c>
      <c r="D72" s="7">
        <f>'01 Product Master'!K72</f>
        <v>400</v>
      </c>
      <c r="E72" s="7">
        <f>'01 Product Master'!L72</f>
        <v>380</v>
      </c>
      <c r="F72" s="7">
        <f>'01 Product Master'!M72</f>
        <v>370</v>
      </c>
      <c r="G72" s="7">
        <f>'01 Product Master'!N72</f>
        <v>350</v>
      </c>
      <c r="H72" s="7">
        <f>'01 Product Master'!O72</f>
        <v>0</v>
      </c>
      <c r="I72" s="7" t="str">
        <f>'01 Product Master'!P72</f>
        <v/>
      </c>
      <c r="J72" s="2" t="str">
        <f>'01 Product Master'!Q72</f>
        <v/>
      </c>
      <c r="K72" s="1"/>
    </row>
    <row r="73" spans="1:11" ht="16" x14ac:dyDescent="0.2">
      <c r="A73" s="1" t="str">
        <f>'01 Product Master'!A73</f>
        <v>SN-0072</v>
      </c>
      <c r="B73" s="1" t="str">
        <f>'01 Product Master'!C73</f>
        <v>Desaku Bawang Putih Renceng</v>
      </c>
      <c r="C73" s="7">
        <f>'01 Product Master'!J73</f>
        <v>983</v>
      </c>
      <c r="D73" s="7">
        <f>'01 Product Master'!K73</f>
        <v>980</v>
      </c>
      <c r="E73" s="7">
        <f>'01 Product Master'!L73</f>
        <v>930</v>
      </c>
      <c r="F73" s="7">
        <f>'01 Product Master'!M73</f>
        <v>900</v>
      </c>
      <c r="G73" s="7">
        <f>'01 Product Master'!N73</f>
        <v>860</v>
      </c>
      <c r="H73" s="7">
        <f>'01 Product Master'!O73</f>
        <v>0</v>
      </c>
      <c r="I73" s="7" t="str">
        <f>'01 Product Master'!P73</f>
        <v/>
      </c>
      <c r="J73" s="2" t="str">
        <f>'01 Product Master'!Q73</f>
        <v/>
      </c>
      <c r="K73" s="1"/>
    </row>
    <row r="74" spans="1:11" ht="16" x14ac:dyDescent="0.2">
      <c r="A74" s="1" t="str">
        <f>'01 Product Master'!A74</f>
        <v>SN-0073</v>
      </c>
      <c r="B74" s="1" t="str">
        <f>'01 Product Master'!C74</f>
        <v>Desaku Ketumbar Renceng</v>
      </c>
      <c r="C74" s="7">
        <f>'01 Product Master'!J74</f>
        <v>983</v>
      </c>
      <c r="D74" s="7">
        <f>'01 Product Master'!K74</f>
        <v>980</v>
      </c>
      <c r="E74" s="7">
        <f>'01 Product Master'!L74</f>
        <v>930</v>
      </c>
      <c r="F74" s="7">
        <f>'01 Product Master'!M74</f>
        <v>900</v>
      </c>
      <c r="G74" s="7">
        <f>'01 Product Master'!N74</f>
        <v>860</v>
      </c>
      <c r="H74" s="7">
        <f>'01 Product Master'!O74</f>
        <v>0</v>
      </c>
      <c r="I74" s="7" t="str">
        <f>'01 Product Master'!P74</f>
        <v/>
      </c>
      <c r="J74" s="2" t="str">
        <f>'01 Product Master'!Q74</f>
        <v/>
      </c>
      <c r="K74" s="1"/>
    </row>
    <row r="75" spans="1:11" ht="16" x14ac:dyDescent="0.2">
      <c r="A75" s="1" t="str">
        <f>'01 Product Master'!A75</f>
        <v>SN-0074</v>
      </c>
      <c r="B75" s="1" t="str">
        <f>'01 Product Master'!C75</f>
        <v>Desaku Marinasi Renceng</v>
      </c>
      <c r="C75" s="7">
        <f>'01 Product Master'!J75</f>
        <v>983</v>
      </c>
      <c r="D75" s="7">
        <f>'01 Product Master'!K75</f>
        <v>980</v>
      </c>
      <c r="E75" s="7">
        <f>'01 Product Master'!L75</f>
        <v>930</v>
      </c>
      <c r="F75" s="7">
        <f>'01 Product Master'!M75</f>
        <v>900</v>
      </c>
      <c r="G75" s="7">
        <f>'01 Product Master'!N75</f>
        <v>860</v>
      </c>
      <c r="H75" s="7">
        <f>'01 Product Master'!O75</f>
        <v>0</v>
      </c>
      <c r="I75" s="7" t="str">
        <f>'01 Product Master'!P75</f>
        <v/>
      </c>
      <c r="J75" s="2" t="str">
        <f>'01 Product Master'!Q75</f>
        <v/>
      </c>
      <c r="K75" s="1"/>
    </row>
    <row r="76" spans="1:11" ht="16" x14ac:dyDescent="0.2">
      <c r="A76" s="1" t="str">
        <f>'01 Product Master'!A76</f>
        <v>SN-0075</v>
      </c>
      <c r="B76" s="1" t="str">
        <f>'01 Product Master'!C76</f>
        <v>Desaku Merica Bubuk Renceng</v>
      </c>
      <c r="C76" s="7">
        <f>'01 Product Master'!J76</f>
        <v>983</v>
      </c>
      <c r="D76" s="7">
        <f>'01 Product Master'!K76</f>
        <v>980</v>
      </c>
      <c r="E76" s="7">
        <f>'01 Product Master'!L76</f>
        <v>930</v>
      </c>
      <c r="F76" s="7">
        <f>'01 Product Master'!M76</f>
        <v>900</v>
      </c>
      <c r="G76" s="7">
        <f>'01 Product Master'!N76</f>
        <v>860</v>
      </c>
      <c r="H76" s="7">
        <f>'01 Product Master'!O76</f>
        <v>0</v>
      </c>
      <c r="I76" s="7" t="str">
        <f>'01 Product Master'!P76</f>
        <v/>
      </c>
      <c r="J76" s="2" t="str">
        <f>'01 Product Master'!Q76</f>
        <v/>
      </c>
      <c r="K76" s="1"/>
    </row>
    <row r="77" spans="1:11" ht="16" x14ac:dyDescent="0.2">
      <c r="A77" s="1" t="str">
        <f>'01 Product Master'!A77</f>
        <v>SN-0076</v>
      </c>
      <c r="B77" s="1" t="str">
        <f>'01 Product Master'!C77</f>
        <v>Desaku Kunyit Bubuk Renceng</v>
      </c>
      <c r="C77" s="7">
        <f>'01 Product Master'!J77</f>
        <v>983</v>
      </c>
      <c r="D77" s="7">
        <f>'01 Product Master'!K77</f>
        <v>980</v>
      </c>
      <c r="E77" s="7">
        <f>'01 Product Master'!L77</f>
        <v>930</v>
      </c>
      <c r="F77" s="7">
        <f>'01 Product Master'!M77</f>
        <v>900</v>
      </c>
      <c r="G77" s="7">
        <f>'01 Product Master'!N77</f>
        <v>860</v>
      </c>
      <c r="H77" s="7">
        <f>'01 Product Master'!O77</f>
        <v>0</v>
      </c>
      <c r="I77" s="7" t="str">
        <f>'01 Product Master'!P77</f>
        <v/>
      </c>
      <c r="J77" s="2" t="str">
        <f>'01 Product Master'!Q77</f>
        <v/>
      </c>
      <c r="K77" s="1"/>
    </row>
    <row r="78" spans="1:11" ht="16" x14ac:dyDescent="0.2">
      <c r="A78" s="1" t="str">
        <f>'01 Product Master'!A78</f>
        <v>SN-0077</v>
      </c>
      <c r="B78" s="1" t="str">
        <f>'01 Product Master'!C78</f>
        <v>Royco Kuah Bakso</v>
      </c>
      <c r="C78" s="7">
        <f>'01 Product Master'!J78</f>
        <v>477</v>
      </c>
      <c r="D78" s="7">
        <f>'01 Product Master'!K78</f>
        <v>480</v>
      </c>
      <c r="E78" s="7">
        <f>'01 Product Master'!L78</f>
        <v>460</v>
      </c>
      <c r="F78" s="7">
        <f>'01 Product Master'!M78</f>
        <v>440</v>
      </c>
      <c r="G78" s="7">
        <f>'01 Product Master'!N78</f>
        <v>420</v>
      </c>
      <c r="H78" s="7">
        <f>'01 Product Master'!O78</f>
        <v>0</v>
      </c>
      <c r="I78" s="7" t="str">
        <f>'01 Product Master'!P78</f>
        <v/>
      </c>
      <c r="J78" s="2" t="str">
        <f>'01 Product Master'!Q78</f>
        <v/>
      </c>
      <c r="K78" s="1"/>
    </row>
    <row r="79" spans="1:11" ht="16" x14ac:dyDescent="0.2">
      <c r="A79" s="1" t="str">
        <f>'01 Product Master'!A79</f>
        <v>SN-0078</v>
      </c>
      <c r="B79" s="1" t="str">
        <f>'01 Product Master'!C79</f>
        <v>Royco Sapi Besar</v>
      </c>
      <c r="C79" s="7">
        <f>'01 Product Master'!J79</f>
        <v>477</v>
      </c>
      <c r="D79" s="7">
        <f>'01 Product Master'!K79</f>
        <v>480</v>
      </c>
      <c r="E79" s="7">
        <f>'01 Product Master'!L79</f>
        <v>460</v>
      </c>
      <c r="F79" s="7">
        <f>'01 Product Master'!M79</f>
        <v>440</v>
      </c>
      <c r="G79" s="7">
        <f>'01 Product Master'!N79</f>
        <v>420</v>
      </c>
      <c r="H79" s="7">
        <f>'01 Product Master'!O79</f>
        <v>0</v>
      </c>
      <c r="I79" s="7" t="str">
        <f>'01 Product Master'!P79</f>
        <v/>
      </c>
      <c r="J79" s="2" t="str">
        <f>'01 Product Master'!Q79</f>
        <v/>
      </c>
      <c r="K79" s="1"/>
    </row>
    <row r="80" spans="1:11" ht="16" x14ac:dyDescent="0.2">
      <c r="A80" s="1" t="str">
        <f>'01 Product Master'!A80</f>
        <v>SN-0079</v>
      </c>
      <c r="B80" s="1" t="str">
        <f>'01 Product Master'!C80</f>
        <v>Royco Ayam Besar</v>
      </c>
      <c r="C80" s="7">
        <f>'01 Product Master'!J80</f>
        <v>477</v>
      </c>
      <c r="D80" s="7">
        <f>'01 Product Master'!K80</f>
        <v>480</v>
      </c>
      <c r="E80" s="7">
        <f>'01 Product Master'!L80</f>
        <v>460</v>
      </c>
      <c r="F80" s="7">
        <f>'01 Product Master'!M80</f>
        <v>440</v>
      </c>
      <c r="G80" s="7">
        <f>'01 Product Master'!N80</f>
        <v>420</v>
      </c>
      <c r="H80" s="7">
        <f>'01 Product Master'!O80</f>
        <v>0</v>
      </c>
      <c r="I80" s="7" t="str">
        <f>'01 Product Master'!P80</f>
        <v/>
      </c>
      <c r="J80" s="2" t="str">
        <f>'01 Product Master'!Q80</f>
        <v/>
      </c>
      <c r="K80" s="1"/>
    </row>
    <row r="81" spans="1:11" ht="16" x14ac:dyDescent="0.2">
      <c r="A81" s="1" t="str">
        <f>'01 Product Master'!A81</f>
        <v>SN-0080</v>
      </c>
      <c r="B81" s="1" t="str">
        <f>'01 Product Master'!C81</f>
        <v>Masako Ayam Besar</v>
      </c>
      <c r="C81" s="7">
        <f>'01 Product Master'!J81</f>
        <v>467</v>
      </c>
      <c r="D81" s="7">
        <f>'01 Product Master'!K81</f>
        <v>470</v>
      </c>
      <c r="E81" s="7">
        <f>'01 Product Master'!L81</f>
        <v>450</v>
      </c>
      <c r="F81" s="7">
        <f>'01 Product Master'!M81</f>
        <v>430</v>
      </c>
      <c r="G81" s="7">
        <f>'01 Product Master'!N81</f>
        <v>410</v>
      </c>
      <c r="H81" s="7">
        <f>'01 Product Master'!O81</f>
        <v>0</v>
      </c>
      <c r="I81" s="7" t="str">
        <f>'01 Product Master'!P81</f>
        <v/>
      </c>
      <c r="J81" s="2" t="str">
        <f>'01 Product Master'!Q81</f>
        <v/>
      </c>
      <c r="K81" s="1"/>
    </row>
    <row r="82" spans="1:11" ht="16" x14ac:dyDescent="0.2">
      <c r="A82" s="1" t="str">
        <f>'01 Product Master'!A82</f>
        <v>SN-0081</v>
      </c>
      <c r="B82" s="1" t="str">
        <f>'01 Product Master'!C82</f>
        <v>Masako Sapi Besar</v>
      </c>
      <c r="C82" s="7">
        <f>'01 Product Master'!J82</f>
        <v>467</v>
      </c>
      <c r="D82" s="7">
        <f>'01 Product Master'!K82</f>
        <v>470</v>
      </c>
      <c r="E82" s="7">
        <f>'01 Product Master'!L82</f>
        <v>450</v>
      </c>
      <c r="F82" s="7">
        <f>'01 Product Master'!M82</f>
        <v>430</v>
      </c>
      <c r="G82" s="7">
        <f>'01 Product Master'!N82</f>
        <v>410</v>
      </c>
      <c r="H82" s="7">
        <f>'01 Product Master'!O82</f>
        <v>0</v>
      </c>
      <c r="I82" s="7" t="str">
        <f>'01 Product Master'!P82</f>
        <v/>
      </c>
      <c r="J82" s="2" t="str">
        <f>'01 Product Master'!Q82</f>
        <v/>
      </c>
      <c r="K82" s="1"/>
    </row>
    <row r="83" spans="1:11" ht="16" x14ac:dyDescent="0.2">
      <c r="A83" s="1" t="str">
        <f>'01 Product Master'!A83</f>
        <v>SN-0082</v>
      </c>
      <c r="B83" s="1" t="str">
        <f>'01 Product Master'!C83</f>
        <v>Sasa Tepung Serbaguna Original</v>
      </c>
      <c r="C83" s="7">
        <f>'01 Product Master'!J83</f>
        <v>412</v>
      </c>
      <c r="D83" s="7">
        <f>'01 Product Master'!K83</f>
        <v>410</v>
      </c>
      <c r="E83" s="7">
        <f>'01 Product Master'!L83</f>
        <v>390</v>
      </c>
      <c r="F83" s="7">
        <f>'01 Product Master'!M83</f>
        <v>380</v>
      </c>
      <c r="G83" s="7">
        <f>'01 Product Master'!N83</f>
        <v>360</v>
      </c>
      <c r="H83" s="7">
        <f>'01 Product Master'!O83</f>
        <v>0</v>
      </c>
      <c r="I83" s="7" t="str">
        <f>'01 Product Master'!P83</f>
        <v/>
      </c>
      <c r="J83" s="2" t="str">
        <f>'01 Product Master'!Q83</f>
        <v/>
      </c>
      <c r="K83" s="1"/>
    </row>
    <row r="84" spans="1:11" ht="16" x14ac:dyDescent="0.2">
      <c r="A84" s="1" t="str">
        <f>'01 Product Master'!A84</f>
        <v>SN-0083</v>
      </c>
      <c r="B84" s="1" t="str">
        <f>'01 Product Master'!C84</f>
        <v>Sasa Tepung Serbaguna Hot &amp; Spicy</v>
      </c>
      <c r="C84" s="7">
        <f>'01 Product Master'!J84</f>
        <v>412</v>
      </c>
      <c r="D84" s="7">
        <f>'01 Product Master'!K84</f>
        <v>410</v>
      </c>
      <c r="E84" s="7">
        <f>'01 Product Master'!L84</f>
        <v>390</v>
      </c>
      <c r="F84" s="7">
        <f>'01 Product Master'!M84</f>
        <v>380</v>
      </c>
      <c r="G84" s="7">
        <f>'01 Product Master'!N84</f>
        <v>360</v>
      </c>
      <c r="H84" s="7">
        <f>'01 Product Master'!O84</f>
        <v>0</v>
      </c>
      <c r="I84" s="7" t="str">
        <f>'01 Product Master'!P84</f>
        <v/>
      </c>
      <c r="J84" s="2" t="str">
        <f>'01 Product Master'!Q84</f>
        <v/>
      </c>
      <c r="K84" s="1"/>
    </row>
    <row r="85" spans="1:11" ht="16" x14ac:dyDescent="0.2">
      <c r="A85" s="1" t="str">
        <f>'01 Product Master'!A85</f>
        <v>SN-0084</v>
      </c>
      <c r="B85" s="1" t="str">
        <f>'01 Product Master'!C85</f>
        <v>Royco Ayam Besar</v>
      </c>
      <c r="C85" s="7">
        <f>'01 Product Master'!J85</f>
        <v>0</v>
      </c>
      <c r="D85" s="7" t="str">
        <f>'01 Product Master'!K85</f>
        <v/>
      </c>
      <c r="E85" s="7" t="str">
        <f>'01 Product Master'!L85</f>
        <v/>
      </c>
      <c r="F85" s="7" t="str">
        <f>'01 Product Master'!M85</f>
        <v/>
      </c>
      <c r="G85" s="7" t="str">
        <f>'01 Product Master'!N85</f>
        <v/>
      </c>
      <c r="H85" s="7">
        <f>'01 Product Master'!O85</f>
        <v>0</v>
      </c>
      <c r="I85" s="7" t="str">
        <f>'01 Product Master'!P85</f>
        <v/>
      </c>
      <c r="J85" s="2" t="str">
        <f>'01 Product Master'!Q85</f>
        <v/>
      </c>
      <c r="K85" s="1"/>
    </row>
    <row r="86" spans="1:11" ht="16" x14ac:dyDescent="0.2">
      <c r="A86" s="1" t="str">
        <f>'01 Product Master'!A86</f>
        <v>SN-0085</v>
      </c>
      <c r="B86" s="1" t="str">
        <f>'01 Product Master'!C86</f>
        <v>Sasa MSG</v>
      </c>
      <c r="C86" s="7" t="str">
        <f>'01 Product Master'!J86</f>
        <v/>
      </c>
      <c r="D86" s="7" t="str">
        <f>'01 Product Master'!K86</f>
        <v/>
      </c>
      <c r="E86" s="7" t="str">
        <f>'01 Product Master'!L86</f>
        <v/>
      </c>
      <c r="F86" s="7" t="str">
        <f>'01 Product Master'!M86</f>
        <v/>
      </c>
      <c r="G86" s="7" t="str">
        <f>'01 Product Master'!N86</f>
        <v/>
      </c>
      <c r="H86" s="7">
        <f>'01 Product Master'!O86</f>
        <v>0</v>
      </c>
      <c r="I86" s="7" t="str">
        <f>'01 Product Master'!P86</f>
        <v/>
      </c>
      <c r="J86" s="2" t="str">
        <f>'01 Product Master'!Q86</f>
        <v/>
      </c>
      <c r="K86" s="1"/>
    </row>
    <row r="87" spans="1:11" ht="16" x14ac:dyDescent="0.2">
      <c r="A87" s="1" t="str">
        <f>'01 Product Master'!A87</f>
        <v>SN-0086</v>
      </c>
      <c r="B87" s="1" t="str">
        <f>'01 Product Master'!C87</f>
        <v>Garam</v>
      </c>
      <c r="C87" s="7" t="str">
        <f>'01 Product Master'!J87</f>
        <v/>
      </c>
      <c r="D87" s="7" t="str">
        <f>'01 Product Master'!K87</f>
        <v/>
      </c>
      <c r="E87" s="7" t="str">
        <f>'01 Product Master'!L87</f>
        <v/>
      </c>
      <c r="F87" s="7" t="str">
        <f>'01 Product Master'!M87</f>
        <v/>
      </c>
      <c r="G87" s="7" t="str">
        <f>'01 Product Master'!N87</f>
        <v/>
      </c>
      <c r="H87" s="7">
        <f>'01 Product Master'!O87</f>
        <v>0</v>
      </c>
      <c r="I87" s="7" t="str">
        <f>'01 Product Master'!P87</f>
        <v/>
      </c>
      <c r="J87" s="2" t="str">
        <f>'01 Product Master'!Q87</f>
        <v/>
      </c>
      <c r="K87" s="1"/>
    </row>
    <row r="88" spans="1:11" ht="16" x14ac:dyDescent="0.2">
      <c r="A88" s="1" t="str">
        <f>'01 Product Master'!A88</f>
        <v>SN-0087</v>
      </c>
      <c r="B88" s="1" t="str">
        <f>'01 Product Master'!C88</f>
        <v>Baking Powder</v>
      </c>
      <c r="C88" s="7">
        <f>'01 Product Master'!J88</f>
        <v>417</v>
      </c>
      <c r="D88" s="7">
        <f>'01 Product Master'!K88</f>
        <v>420</v>
      </c>
      <c r="E88" s="7">
        <f>'01 Product Master'!L88</f>
        <v>400</v>
      </c>
      <c r="F88" s="7">
        <f>'01 Product Master'!M88</f>
        <v>390</v>
      </c>
      <c r="G88" s="7">
        <f>'01 Product Master'!N88</f>
        <v>370</v>
      </c>
      <c r="H88" s="7">
        <f>'01 Product Master'!O88</f>
        <v>0</v>
      </c>
      <c r="I88" s="7" t="str">
        <f>'01 Product Master'!P88</f>
        <v/>
      </c>
      <c r="J88" s="2" t="str">
        <f>'01 Product Master'!Q88</f>
        <v/>
      </c>
      <c r="K88" s="1"/>
    </row>
    <row r="89" spans="1:11" ht="16" x14ac:dyDescent="0.2">
      <c r="A89" s="1" t="str">
        <f>'01 Product Master'!A89</f>
        <v>SN-0088</v>
      </c>
      <c r="B89" s="1" t="str">
        <f>'01 Product Master'!C89</f>
        <v>Koepoe Vanila</v>
      </c>
      <c r="C89" s="7">
        <f>'01 Product Master'!J89</f>
        <v>375</v>
      </c>
      <c r="D89" s="7">
        <f>'01 Product Master'!K89</f>
        <v>380</v>
      </c>
      <c r="E89" s="7">
        <f>'01 Product Master'!L89</f>
        <v>360</v>
      </c>
      <c r="F89" s="7">
        <f>'01 Product Master'!M89</f>
        <v>350</v>
      </c>
      <c r="G89" s="7">
        <f>'01 Product Master'!N89</f>
        <v>330</v>
      </c>
      <c r="H89" s="7">
        <f>'01 Product Master'!O89</f>
        <v>0</v>
      </c>
      <c r="I89" s="7" t="str">
        <f>'01 Product Master'!P89</f>
        <v/>
      </c>
      <c r="J89" s="2" t="str">
        <f>'01 Product Master'!Q89</f>
        <v/>
      </c>
      <c r="K89" s="1"/>
    </row>
    <row r="90" spans="1:11" ht="16" x14ac:dyDescent="0.2">
      <c r="A90" s="1" t="str">
        <f>'01 Product Master'!A90</f>
        <v>SN-0089</v>
      </c>
      <c r="B90" s="1" t="str">
        <f>'01 Product Master'!C90</f>
        <v>Ragi</v>
      </c>
      <c r="C90" s="7" t="str">
        <f>'01 Product Master'!J90</f>
        <v/>
      </c>
      <c r="D90" s="7" t="str">
        <f>'01 Product Master'!K90</f>
        <v/>
      </c>
      <c r="E90" s="7" t="str">
        <f>'01 Product Master'!L90</f>
        <v/>
      </c>
      <c r="F90" s="7" t="str">
        <f>'01 Product Master'!M90</f>
        <v/>
      </c>
      <c r="G90" s="7" t="str">
        <f>'01 Product Master'!N90</f>
        <v/>
      </c>
      <c r="H90" s="7">
        <f>'01 Product Master'!O90</f>
        <v>0</v>
      </c>
      <c r="I90" s="7" t="str">
        <f>'01 Product Master'!P90</f>
        <v/>
      </c>
      <c r="J90" s="2" t="str">
        <f>'01 Product Master'!Q90</f>
        <v/>
      </c>
      <c r="K90" s="1"/>
    </row>
    <row r="91" spans="1:11" ht="16" x14ac:dyDescent="0.2">
      <c r="A91" s="1" t="str">
        <f>'01 Product Master'!A91</f>
        <v>SN-0090</v>
      </c>
      <c r="B91" s="1" t="str">
        <f>'01 Product Master'!C91</f>
        <v>TBM</v>
      </c>
      <c r="C91" s="7">
        <f>'01 Product Master'!J91</f>
        <v>395</v>
      </c>
      <c r="D91" s="7">
        <f>'01 Product Master'!K91</f>
        <v>400</v>
      </c>
      <c r="E91" s="7">
        <f>'01 Product Master'!L91</f>
        <v>380</v>
      </c>
      <c r="F91" s="7">
        <f>'01 Product Master'!M91</f>
        <v>370</v>
      </c>
      <c r="G91" s="7">
        <f>'01 Product Master'!N91</f>
        <v>350</v>
      </c>
      <c r="H91" s="7">
        <f>'01 Product Master'!O91</f>
        <v>0</v>
      </c>
      <c r="I91" s="7" t="str">
        <f>'01 Product Master'!P91</f>
        <v/>
      </c>
      <c r="J91" s="2" t="str">
        <f>'01 Product Master'!Q91</f>
        <v/>
      </c>
      <c r="K91" s="1"/>
    </row>
    <row r="92" spans="1:11" ht="16" x14ac:dyDescent="0.2">
      <c r="A92" s="1" t="str">
        <f>'01 Product Master'!A92</f>
        <v>SN-0091</v>
      </c>
      <c r="B92" s="1" t="str">
        <f>'01 Product Master'!C92</f>
        <v>Pewarna Pandan</v>
      </c>
      <c r="C92" s="7">
        <f>'01 Product Master'!J92</f>
        <v>380</v>
      </c>
      <c r="D92" s="7">
        <f>'01 Product Master'!K92</f>
        <v>380</v>
      </c>
      <c r="E92" s="7">
        <f>'01 Product Master'!L92</f>
        <v>360</v>
      </c>
      <c r="F92" s="7">
        <f>'01 Product Master'!M92</f>
        <v>350</v>
      </c>
      <c r="G92" s="7">
        <f>'01 Product Master'!N92</f>
        <v>330</v>
      </c>
      <c r="H92" s="7">
        <f>'01 Product Master'!O92</f>
        <v>0</v>
      </c>
      <c r="I92" s="7" t="str">
        <f>'01 Product Master'!P92</f>
        <v/>
      </c>
      <c r="J92" s="2" t="str">
        <f>'01 Product Master'!Q92</f>
        <v/>
      </c>
      <c r="K92" s="1"/>
    </row>
    <row r="93" spans="1:11" ht="16" x14ac:dyDescent="0.2">
      <c r="A93" s="1" t="str">
        <f>'01 Product Master'!A93</f>
        <v>SN-0092</v>
      </c>
      <c r="B93" s="1" t="str">
        <f>'01 Product Master'!C93</f>
        <v>Soda Kue</v>
      </c>
      <c r="C93" s="7">
        <f>'01 Product Master'!J93</f>
        <v>425</v>
      </c>
      <c r="D93" s="7">
        <f>'01 Product Master'!K93</f>
        <v>430</v>
      </c>
      <c r="E93" s="7">
        <f>'01 Product Master'!L93</f>
        <v>410</v>
      </c>
      <c r="F93" s="7">
        <f>'01 Product Master'!M93</f>
        <v>400</v>
      </c>
      <c r="G93" s="7">
        <f>'01 Product Master'!N93</f>
        <v>380</v>
      </c>
      <c r="H93" s="7">
        <f>'01 Product Master'!O93</f>
        <v>0</v>
      </c>
      <c r="I93" s="7" t="str">
        <f>'01 Product Master'!P93</f>
        <v/>
      </c>
      <c r="J93" s="2" t="str">
        <f>'01 Product Master'!Q93</f>
        <v/>
      </c>
      <c r="K93" s="1"/>
    </row>
    <row r="94" spans="1:11" ht="16" x14ac:dyDescent="0.2">
      <c r="A94" s="1" t="str">
        <f>'01 Product Master'!A94</f>
        <v>SN-0093</v>
      </c>
      <c r="B94" s="1" t="str">
        <f>'01 Product Master'!C94</f>
        <v>SP</v>
      </c>
      <c r="C94" s="7">
        <f>'01 Product Master'!J94</f>
        <v>395</v>
      </c>
      <c r="D94" s="7">
        <f>'01 Product Master'!K94</f>
        <v>400</v>
      </c>
      <c r="E94" s="7">
        <f>'01 Product Master'!L94</f>
        <v>380</v>
      </c>
      <c r="F94" s="7">
        <f>'01 Product Master'!M94</f>
        <v>370</v>
      </c>
      <c r="G94" s="7">
        <f>'01 Product Master'!N94</f>
        <v>350</v>
      </c>
      <c r="H94" s="7">
        <f>'01 Product Master'!O94</f>
        <v>0</v>
      </c>
      <c r="I94" s="7" t="str">
        <f>'01 Product Master'!P94</f>
        <v/>
      </c>
      <c r="J94" s="2" t="str">
        <f>'01 Product Master'!Q94</f>
        <v/>
      </c>
      <c r="K94" s="1"/>
    </row>
    <row r="95" spans="1:11" ht="16" x14ac:dyDescent="0.2">
      <c r="A95" s="1" t="str">
        <f>'01 Product Master'!A95</f>
        <v>SN-0094</v>
      </c>
      <c r="B95" s="1" t="str">
        <f>'01 Product Master'!C95</f>
        <v>Ovalett</v>
      </c>
      <c r="C95" s="7">
        <f>'01 Product Master'!J95</f>
        <v>420</v>
      </c>
      <c r="D95" s="7">
        <f>'01 Product Master'!K95</f>
        <v>420</v>
      </c>
      <c r="E95" s="7">
        <f>'01 Product Master'!L95</f>
        <v>400</v>
      </c>
      <c r="F95" s="7">
        <f>'01 Product Master'!M95</f>
        <v>390</v>
      </c>
      <c r="G95" s="7">
        <f>'01 Product Master'!N95</f>
        <v>370</v>
      </c>
      <c r="H95" s="7">
        <f>'01 Product Master'!O95</f>
        <v>0</v>
      </c>
      <c r="I95" s="7" t="str">
        <f>'01 Product Master'!P95</f>
        <v/>
      </c>
      <c r="J95" s="2" t="str">
        <f>'01 Product Master'!Q95</f>
        <v/>
      </c>
      <c r="K95" s="1"/>
    </row>
    <row r="96" spans="1:11" ht="16" x14ac:dyDescent="0.2">
      <c r="A96" s="1" t="str">
        <f>'01 Product Master'!A96</f>
        <v>SN-0095</v>
      </c>
      <c r="B96" s="1" t="str">
        <f>'01 Product Master'!C96</f>
        <v>Ragi Tempe</v>
      </c>
      <c r="C96" s="7" t="str">
        <f>'01 Product Master'!J96</f>
        <v/>
      </c>
      <c r="D96" s="7" t="str">
        <f>'01 Product Master'!K96</f>
        <v/>
      </c>
      <c r="E96" s="7" t="str">
        <f>'01 Product Master'!L96</f>
        <v/>
      </c>
      <c r="F96" s="7" t="str">
        <f>'01 Product Master'!M96</f>
        <v/>
      </c>
      <c r="G96" s="7" t="str">
        <f>'01 Product Master'!N96</f>
        <v/>
      </c>
      <c r="H96" s="7">
        <f>'01 Product Master'!O96</f>
        <v>0</v>
      </c>
      <c r="I96" s="7" t="str">
        <f>'01 Product Master'!P96</f>
        <v/>
      </c>
      <c r="J96" s="2" t="str">
        <f>'01 Product Master'!Q96</f>
        <v/>
      </c>
      <c r="K96" s="1"/>
    </row>
    <row r="97" spans="1:11" ht="16" x14ac:dyDescent="0.2">
      <c r="A97" s="1" t="str">
        <f>'01 Product Master'!A97</f>
        <v>SN-0096</v>
      </c>
      <c r="B97" s="1" t="str">
        <f>'01 Product Master'!C97</f>
        <v>Bawang Merah</v>
      </c>
      <c r="C97" s="7" t="str">
        <f>'01 Product Master'!J97</f>
        <v/>
      </c>
      <c r="D97" s="7" t="str">
        <f>'01 Product Master'!K97</f>
        <v/>
      </c>
      <c r="E97" s="7" t="str">
        <f>'01 Product Master'!L97</f>
        <v/>
      </c>
      <c r="F97" s="7" t="str">
        <f>'01 Product Master'!M97</f>
        <v/>
      </c>
      <c r="G97" s="7" t="str">
        <f>'01 Product Master'!N97</f>
        <v/>
      </c>
      <c r="H97" s="7">
        <f>'01 Product Master'!O97</f>
        <v>0</v>
      </c>
      <c r="I97" s="7" t="str">
        <f>'01 Product Master'!P97</f>
        <v/>
      </c>
      <c r="J97" s="2" t="str">
        <f>'01 Product Master'!Q97</f>
        <v/>
      </c>
      <c r="K97" s="1"/>
    </row>
    <row r="98" spans="1:11" ht="16" x14ac:dyDescent="0.2">
      <c r="A98" s="1" t="str">
        <f>'01 Product Master'!A98</f>
        <v>SN-0097</v>
      </c>
      <c r="B98" s="1" t="str">
        <f>'01 Product Master'!C98</f>
        <v>Bawang Putih</v>
      </c>
      <c r="C98" s="7" t="str">
        <f>'01 Product Master'!J98</f>
        <v/>
      </c>
      <c r="D98" s="7" t="str">
        <f>'01 Product Master'!K98</f>
        <v/>
      </c>
      <c r="E98" s="7" t="str">
        <f>'01 Product Master'!L98</f>
        <v/>
      </c>
      <c r="F98" s="7" t="str">
        <f>'01 Product Master'!M98</f>
        <v/>
      </c>
      <c r="G98" s="7" t="str">
        <f>'01 Product Master'!N98</f>
        <v/>
      </c>
      <c r="H98" s="7">
        <f>'01 Product Master'!O98</f>
        <v>0</v>
      </c>
      <c r="I98" s="7" t="str">
        <f>'01 Product Master'!P98</f>
        <v/>
      </c>
      <c r="J98" s="2" t="str">
        <f>'01 Product Master'!Q98</f>
        <v/>
      </c>
      <c r="K98" s="1"/>
    </row>
    <row r="99" spans="1:11" ht="16" x14ac:dyDescent="0.2">
      <c r="A99" s="1" t="str">
        <f>'01 Product Master'!A99</f>
        <v>SN-0098</v>
      </c>
      <c r="B99" s="1" t="str">
        <f>'01 Product Master'!C99</f>
        <v>Asem Jawa</v>
      </c>
      <c r="C99" s="7" t="str">
        <f>'01 Product Master'!J99</f>
        <v/>
      </c>
      <c r="D99" s="7" t="str">
        <f>'01 Product Master'!K99</f>
        <v/>
      </c>
      <c r="E99" s="7" t="str">
        <f>'01 Product Master'!L99</f>
        <v/>
      </c>
      <c r="F99" s="7" t="str">
        <f>'01 Product Master'!M99</f>
        <v/>
      </c>
      <c r="G99" s="7" t="str">
        <f>'01 Product Master'!N99</f>
        <v/>
      </c>
      <c r="H99" s="7">
        <f>'01 Product Master'!O99</f>
        <v>0</v>
      </c>
      <c r="I99" s="7" t="str">
        <f>'01 Product Master'!P99</f>
        <v/>
      </c>
      <c r="J99" s="2" t="str">
        <f>'01 Product Master'!Q99</f>
        <v/>
      </c>
      <c r="K99" s="1"/>
    </row>
    <row r="100" spans="1:11" ht="16" x14ac:dyDescent="0.2">
      <c r="A100" s="1" t="str">
        <f>'01 Product Master'!A100</f>
        <v>SN-0099</v>
      </c>
      <c r="B100" s="1" t="str">
        <f>'01 Product Master'!C100</f>
        <v>Biji Pala</v>
      </c>
      <c r="C100" s="7" t="str">
        <f>'01 Product Master'!J100</f>
        <v/>
      </c>
      <c r="D100" s="7" t="str">
        <f>'01 Product Master'!K100</f>
        <v/>
      </c>
      <c r="E100" s="7" t="str">
        <f>'01 Product Master'!L100</f>
        <v/>
      </c>
      <c r="F100" s="7" t="str">
        <f>'01 Product Master'!M100</f>
        <v/>
      </c>
      <c r="G100" s="7" t="str">
        <f>'01 Product Master'!N100</f>
        <v/>
      </c>
      <c r="H100" s="7">
        <f>'01 Product Master'!O100</f>
        <v>0</v>
      </c>
      <c r="I100" s="7" t="str">
        <f>'01 Product Master'!P100</f>
        <v/>
      </c>
      <c r="J100" s="2" t="str">
        <f>'01 Product Master'!Q100</f>
        <v/>
      </c>
      <c r="K100" s="1"/>
    </row>
    <row r="101" spans="1:11" ht="16" x14ac:dyDescent="0.2">
      <c r="A101" s="1" t="str">
        <f>'01 Product Master'!A101</f>
        <v>SN-0100</v>
      </c>
      <c r="B101" s="1" t="str">
        <f>'01 Product Master'!C101</f>
        <v>Cabe Merah Kering</v>
      </c>
      <c r="C101" s="7" t="str">
        <f>'01 Product Master'!J101</f>
        <v/>
      </c>
      <c r="D101" s="7" t="str">
        <f>'01 Product Master'!K101</f>
        <v/>
      </c>
      <c r="E101" s="7" t="str">
        <f>'01 Product Master'!L101</f>
        <v/>
      </c>
      <c r="F101" s="7" t="str">
        <f>'01 Product Master'!M101</f>
        <v/>
      </c>
      <c r="G101" s="7" t="str">
        <f>'01 Product Master'!N101</f>
        <v/>
      </c>
      <c r="H101" s="7">
        <f>'01 Product Master'!O101</f>
        <v>0</v>
      </c>
      <c r="I101" s="7" t="str">
        <f>'01 Product Master'!P101</f>
        <v/>
      </c>
      <c r="J101" s="2" t="str">
        <f>'01 Product Master'!Q101</f>
        <v/>
      </c>
      <c r="K101" s="1"/>
    </row>
    <row r="102" spans="1:11" ht="16" x14ac:dyDescent="0.2">
      <c r="A102" s="1" t="str">
        <f>'01 Product Master'!A102</f>
        <v>SN-0101</v>
      </c>
      <c r="B102" s="1" t="str">
        <f>'01 Product Master'!C102</f>
        <v xml:space="preserve">Cabe Merah Keriting </v>
      </c>
      <c r="C102" s="7" t="str">
        <f>'01 Product Master'!J102</f>
        <v/>
      </c>
      <c r="D102" s="7" t="str">
        <f>'01 Product Master'!K102</f>
        <v/>
      </c>
      <c r="E102" s="7" t="str">
        <f>'01 Product Master'!L102</f>
        <v/>
      </c>
      <c r="F102" s="7" t="str">
        <f>'01 Product Master'!M102</f>
        <v/>
      </c>
      <c r="G102" s="7" t="str">
        <f>'01 Product Master'!N102</f>
        <v/>
      </c>
      <c r="H102" s="7">
        <f>'01 Product Master'!O102</f>
        <v>0</v>
      </c>
      <c r="I102" s="7" t="str">
        <f>'01 Product Master'!P102</f>
        <v/>
      </c>
      <c r="J102" s="2" t="str">
        <f>'01 Product Master'!Q102</f>
        <v/>
      </c>
      <c r="K102" s="1"/>
    </row>
    <row r="103" spans="1:11" ht="16" x14ac:dyDescent="0.2">
      <c r="A103" s="1" t="str">
        <f>'01 Product Master'!A103</f>
        <v>SN-0102</v>
      </c>
      <c r="B103" s="1" t="str">
        <f>'01 Product Master'!C103</f>
        <v>Cabe Rawit Hijau</v>
      </c>
      <c r="C103" s="7" t="str">
        <f>'01 Product Master'!J103</f>
        <v/>
      </c>
      <c r="D103" s="7" t="str">
        <f>'01 Product Master'!K103</f>
        <v/>
      </c>
      <c r="E103" s="7" t="str">
        <f>'01 Product Master'!L103</f>
        <v/>
      </c>
      <c r="F103" s="7" t="str">
        <f>'01 Product Master'!M103</f>
        <v/>
      </c>
      <c r="G103" s="7" t="str">
        <f>'01 Product Master'!N103</f>
        <v/>
      </c>
      <c r="H103" s="7">
        <f>'01 Product Master'!O103</f>
        <v>0</v>
      </c>
      <c r="I103" s="7" t="str">
        <f>'01 Product Master'!P103</f>
        <v/>
      </c>
      <c r="J103" s="2" t="str">
        <f>'01 Product Master'!Q103</f>
        <v/>
      </c>
      <c r="K103" s="1"/>
    </row>
    <row r="104" spans="1:11" ht="16" x14ac:dyDescent="0.2">
      <c r="A104" s="1" t="str">
        <f>'01 Product Master'!A104</f>
        <v>SN-0103</v>
      </c>
      <c r="B104" s="1" t="str">
        <f>'01 Product Master'!C104</f>
        <v>Cengkeh</v>
      </c>
      <c r="C104" s="7" t="str">
        <f>'01 Product Master'!J104</f>
        <v/>
      </c>
      <c r="D104" s="7" t="str">
        <f>'01 Product Master'!K104</f>
        <v/>
      </c>
      <c r="E104" s="7" t="str">
        <f>'01 Product Master'!L104</f>
        <v/>
      </c>
      <c r="F104" s="7" t="str">
        <f>'01 Product Master'!M104</f>
        <v/>
      </c>
      <c r="G104" s="7" t="str">
        <f>'01 Product Master'!N104</f>
        <v/>
      </c>
      <c r="H104" s="7">
        <f>'01 Product Master'!O104</f>
        <v>0</v>
      </c>
      <c r="I104" s="7" t="str">
        <f>'01 Product Master'!P104</f>
        <v/>
      </c>
      <c r="J104" s="2" t="str">
        <f>'01 Product Master'!Q104</f>
        <v/>
      </c>
      <c r="K104" s="1"/>
    </row>
    <row r="105" spans="1:11" ht="16" x14ac:dyDescent="0.2">
      <c r="A105" s="1" t="str">
        <f>'01 Product Master'!A105</f>
        <v>SN-0104</v>
      </c>
      <c r="B105" s="1" t="str">
        <f>'01 Product Master'!C105</f>
        <v>Daun Jeruk</v>
      </c>
      <c r="C105" s="7" t="str">
        <f>'01 Product Master'!J105</f>
        <v/>
      </c>
      <c r="D105" s="7" t="str">
        <f>'01 Product Master'!K105</f>
        <v/>
      </c>
      <c r="E105" s="7" t="str">
        <f>'01 Product Master'!L105</f>
        <v/>
      </c>
      <c r="F105" s="7" t="str">
        <f>'01 Product Master'!M105</f>
        <v/>
      </c>
      <c r="G105" s="7" t="str">
        <f>'01 Product Master'!N105</f>
        <v/>
      </c>
      <c r="H105" s="7">
        <f>'01 Product Master'!O105</f>
        <v>0</v>
      </c>
      <c r="I105" s="7" t="str">
        <f>'01 Product Master'!P105</f>
        <v/>
      </c>
      <c r="J105" s="2" t="str">
        <f>'01 Product Master'!Q105</f>
        <v/>
      </c>
      <c r="K105" s="1"/>
    </row>
    <row r="106" spans="1:11" ht="16" x14ac:dyDescent="0.2">
      <c r="A106" s="1" t="str">
        <f>'01 Product Master'!A106</f>
        <v>SN-0105</v>
      </c>
      <c r="B106" s="1" t="str">
        <f>'01 Product Master'!C106</f>
        <v>Daun Salam</v>
      </c>
      <c r="C106" s="7" t="str">
        <f>'01 Product Master'!J106</f>
        <v/>
      </c>
      <c r="D106" s="7" t="str">
        <f>'01 Product Master'!K106</f>
        <v/>
      </c>
      <c r="E106" s="7" t="str">
        <f>'01 Product Master'!L106</f>
        <v/>
      </c>
      <c r="F106" s="7" t="str">
        <f>'01 Product Master'!M106</f>
        <v/>
      </c>
      <c r="G106" s="7" t="str">
        <f>'01 Product Master'!N106</f>
        <v/>
      </c>
      <c r="H106" s="7">
        <f>'01 Product Master'!O106</f>
        <v>0</v>
      </c>
      <c r="I106" s="7" t="str">
        <f>'01 Product Master'!P106</f>
        <v/>
      </c>
      <c r="J106" s="2" t="str">
        <f>'01 Product Master'!Q106</f>
        <v/>
      </c>
      <c r="K106" s="1"/>
    </row>
    <row r="107" spans="1:11" ht="16" x14ac:dyDescent="0.2">
      <c r="A107" s="1" t="str">
        <f>'01 Product Master'!A107</f>
        <v>SN-0106</v>
      </c>
      <c r="B107" s="1" t="str">
        <f>'01 Product Master'!C107</f>
        <v>Kemiri</v>
      </c>
      <c r="C107" s="7" t="str">
        <f>'01 Product Master'!J107</f>
        <v/>
      </c>
      <c r="D107" s="7" t="str">
        <f>'01 Product Master'!K107</f>
        <v/>
      </c>
      <c r="E107" s="7" t="str">
        <f>'01 Product Master'!L107</f>
        <v/>
      </c>
      <c r="F107" s="7" t="str">
        <f>'01 Product Master'!M107</f>
        <v/>
      </c>
      <c r="G107" s="7" t="str">
        <f>'01 Product Master'!N107</f>
        <v/>
      </c>
      <c r="H107" s="7">
        <f>'01 Product Master'!O107</f>
        <v>0</v>
      </c>
      <c r="I107" s="7" t="str">
        <f>'01 Product Master'!P107</f>
        <v/>
      </c>
      <c r="J107" s="2" t="str">
        <f>'01 Product Master'!Q107</f>
        <v/>
      </c>
      <c r="K107" s="1"/>
    </row>
    <row r="108" spans="1:11" ht="16" x14ac:dyDescent="0.2">
      <c r="A108" s="1" t="str">
        <f>'01 Product Master'!A108</f>
        <v>SN-0107</v>
      </c>
      <c r="B108" s="1" t="str">
        <f>'01 Product Master'!C108</f>
        <v>Kayu Manis</v>
      </c>
      <c r="C108" s="7" t="str">
        <f>'01 Product Master'!J108</f>
        <v/>
      </c>
      <c r="D108" s="7" t="str">
        <f>'01 Product Master'!K108</f>
        <v/>
      </c>
      <c r="E108" s="7" t="str">
        <f>'01 Product Master'!L108</f>
        <v/>
      </c>
      <c r="F108" s="7" t="str">
        <f>'01 Product Master'!M108</f>
        <v/>
      </c>
      <c r="G108" s="7" t="str">
        <f>'01 Product Master'!N108</f>
        <v/>
      </c>
      <c r="H108" s="7">
        <f>'01 Product Master'!O108</f>
        <v>0</v>
      </c>
      <c r="I108" s="7" t="str">
        <f>'01 Product Master'!P108</f>
        <v/>
      </c>
      <c r="J108" s="2" t="str">
        <f>'01 Product Master'!Q108</f>
        <v/>
      </c>
      <c r="K108" s="1"/>
    </row>
    <row r="109" spans="1:11" ht="16" x14ac:dyDescent="0.2">
      <c r="A109" s="1" t="str">
        <f>'01 Product Master'!A109</f>
        <v>SN-0108</v>
      </c>
      <c r="B109" s="1" t="str">
        <f>'01 Product Master'!C109</f>
        <v>Ketumbar Butir</v>
      </c>
      <c r="C109" s="7" t="str">
        <f>'01 Product Master'!J109</f>
        <v/>
      </c>
      <c r="D109" s="7" t="str">
        <f>'01 Product Master'!K109</f>
        <v/>
      </c>
      <c r="E109" s="7" t="str">
        <f>'01 Product Master'!L109</f>
        <v/>
      </c>
      <c r="F109" s="7" t="str">
        <f>'01 Product Master'!M109</f>
        <v/>
      </c>
      <c r="G109" s="7" t="str">
        <f>'01 Product Master'!N109</f>
        <v/>
      </c>
      <c r="H109" s="7">
        <f>'01 Product Master'!O109</f>
        <v>0</v>
      </c>
      <c r="I109" s="7" t="str">
        <f>'01 Product Master'!P109</f>
        <v/>
      </c>
      <c r="J109" s="2" t="str">
        <f>'01 Product Master'!Q109</f>
        <v/>
      </c>
      <c r="K109" s="1"/>
    </row>
    <row r="110" spans="1:11" ht="16" x14ac:dyDescent="0.2">
      <c r="A110" s="1" t="str">
        <f>'01 Product Master'!A110</f>
        <v>SN-0109</v>
      </c>
      <c r="B110" s="1" t="str">
        <f>'01 Product Master'!C110</f>
        <v>Kunyit</v>
      </c>
      <c r="C110" s="7" t="str">
        <f>'01 Product Master'!J110</f>
        <v/>
      </c>
      <c r="D110" s="7" t="str">
        <f>'01 Product Master'!K110</f>
        <v/>
      </c>
      <c r="E110" s="7" t="str">
        <f>'01 Product Master'!L110</f>
        <v/>
      </c>
      <c r="F110" s="7" t="str">
        <f>'01 Product Master'!M110</f>
        <v/>
      </c>
      <c r="G110" s="7" t="str">
        <f>'01 Product Master'!N110</f>
        <v/>
      </c>
      <c r="H110" s="7">
        <f>'01 Product Master'!O110</f>
        <v>0</v>
      </c>
      <c r="I110" s="7" t="str">
        <f>'01 Product Master'!P110</f>
        <v/>
      </c>
      <c r="J110" s="2" t="str">
        <f>'01 Product Master'!Q110</f>
        <v/>
      </c>
      <c r="K110" s="1"/>
    </row>
    <row r="111" spans="1:11" ht="16" x14ac:dyDescent="0.2">
      <c r="A111" s="1" t="str">
        <f>'01 Product Master'!A111</f>
        <v>SN-0110</v>
      </c>
      <c r="B111" s="1" t="str">
        <f>'01 Product Master'!C111</f>
        <v>Lada Hitam Butir</v>
      </c>
      <c r="C111" s="7" t="str">
        <f>'01 Product Master'!J111</f>
        <v/>
      </c>
      <c r="D111" s="7" t="str">
        <f>'01 Product Master'!K111</f>
        <v/>
      </c>
      <c r="E111" s="7" t="str">
        <f>'01 Product Master'!L111</f>
        <v/>
      </c>
      <c r="F111" s="7" t="str">
        <f>'01 Product Master'!M111</f>
        <v/>
      </c>
      <c r="G111" s="7" t="str">
        <f>'01 Product Master'!N111</f>
        <v/>
      </c>
      <c r="H111" s="7">
        <f>'01 Product Master'!O111</f>
        <v>0</v>
      </c>
      <c r="I111" s="7" t="str">
        <f>'01 Product Master'!P111</f>
        <v/>
      </c>
      <c r="J111" s="2" t="str">
        <f>'01 Product Master'!Q111</f>
        <v/>
      </c>
      <c r="K111" s="1"/>
    </row>
    <row r="112" spans="1:11" ht="16" x14ac:dyDescent="0.2">
      <c r="A112" s="1" t="str">
        <f>'01 Product Master'!A112</f>
        <v>SN-0111</v>
      </c>
      <c r="B112" s="1" t="str">
        <f>'01 Product Master'!C112</f>
        <v>Lada/Merica Biji</v>
      </c>
      <c r="C112" s="7" t="str">
        <f>'01 Product Master'!J112</f>
        <v/>
      </c>
      <c r="D112" s="7" t="str">
        <f>'01 Product Master'!K112</f>
        <v/>
      </c>
      <c r="E112" s="7" t="str">
        <f>'01 Product Master'!L112</f>
        <v/>
      </c>
      <c r="F112" s="7" t="str">
        <f>'01 Product Master'!M112</f>
        <v/>
      </c>
      <c r="G112" s="7" t="str">
        <f>'01 Product Master'!N112</f>
        <v/>
      </c>
      <c r="H112" s="7">
        <f>'01 Product Master'!O112</f>
        <v>0</v>
      </c>
      <c r="I112" s="7" t="str">
        <f>'01 Product Master'!P112</f>
        <v/>
      </c>
      <c r="J112" s="2" t="str">
        <f>'01 Product Master'!Q112</f>
        <v/>
      </c>
      <c r="K112" s="1"/>
    </row>
    <row r="113" spans="1:11" ht="16" x14ac:dyDescent="0.2">
      <c r="A113" s="1" t="str">
        <f>'01 Product Master'!A113</f>
        <v>SN-0112</v>
      </c>
      <c r="B113" s="1" t="str">
        <f>'01 Product Master'!C113</f>
        <v>Lengkoas</v>
      </c>
      <c r="C113" s="7" t="str">
        <f>'01 Product Master'!J113</f>
        <v/>
      </c>
      <c r="D113" s="7" t="str">
        <f>'01 Product Master'!K113</f>
        <v/>
      </c>
      <c r="E113" s="7" t="str">
        <f>'01 Product Master'!L113</f>
        <v/>
      </c>
      <c r="F113" s="7" t="str">
        <f>'01 Product Master'!M113</f>
        <v/>
      </c>
      <c r="G113" s="7" t="str">
        <f>'01 Product Master'!N113</f>
        <v/>
      </c>
      <c r="H113" s="7">
        <f>'01 Product Master'!O113</f>
        <v>0</v>
      </c>
      <c r="I113" s="7" t="str">
        <f>'01 Product Master'!P113</f>
        <v/>
      </c>
      <c r="J113" s="2" t="str">
        <f>'01 Product Master'!Q113</f>
        <v/>
      </c>
      <c r="K113" s="1"/>
    </row>
    <row r="114" spans="1:11" ht="16" x14ac:dyDescent="0.2">
      <c r="A114" s="1" t="str">
        <f>'01 Product Master'!A114</f>
        <v>SN-0113</v>
      </c>
      <c r="B114" s="1" t="str">
        <f>'01 Product Master'!C114</f>
        <v>Sereh</v>
      </c>
      <c r="C114" s="7" t="str">
        <f>'01 Product Master'!J114</f>
        <v/>
      </c>
      <c r="D114" s="7" t="str">
        <f>'01 Product Master'!K114</f>
        <v/>
      </c>
      <c r="E114" s="7" t="str">
        <f>'01 Product Master'!L114</f>
        <v/>
      </c>
      <c r="F114" s="7" t="str">
        <f>'01 Product Master'!M114</f>
        <v/>
      </c>
      <c r="G114" s="7" t="str">
        <f>'01 Product Master'!N114</f>
        <v/>
      </c>
      <c r="H114" s="7">
        <f>'01 Product Master'!O114</f>
        <v>0</v>
      </c>
      <c r="I114" s="7" t="str">
        <f>'01 Product Master'!P114</f>
        <v/>
      </c>
      <c r="J114" s="2" t="str">
        <f>'01 Product Master'!Q114</f>
        <v/>
      </c>
      <c r="K114" s="1"/>
    </row>
    <row r="115" spans="1:11" ht="16" x14ac:dyDescent="0.2">
      <c r="A115" s="1" t="str">
        <f>'01 Product Master'!A115</f>
        <v>SN-0114</v>
      </c>
      <c r="B115" s="1" t="str">
        <f>'01 Product Master'!C115</f>
        <v>Bunga Lawang</v>
      </c>
      <c r="C115" s="7" t="str">
        <f>'01 Product Master'!J115</f>
        <v/>
      </c>
      <c r="D115" s="7" t="str">
        <f>'01 Product Master'!K115</f>
        <v/>
      </c>
      <c r="E115" s="7" t="str">
        <f>'01 Product Master'!L115</f>
        <v/>
      </c>
      <c r="F115" s="7" t="str">
        <f>'01 Product Master'!M115</f>
        <v/>
      </c>
      <c r="G115" s="7" t="str">
        <f>'01 Product Master'!N115</f>
        <v/>
      </c>
      <c r="H115" s="7">
        <f>'01 Product Master'!O115</f>
        <v>0</v>
      </c>
      <c r="I115" s="7" t="str">
        <f>'01 Product Master'!P115</f>
        <v/>
      </c>
      <c r="J115" s="2" t="str">
        <f>'01 Product Master'!Q115</f>
        <v/>
      </c>
      <c r="K115" s="1"/>
    </row>
    <row r="116" spans="1:11" ht="16" x14ac:dyDescent="0.2">
      <c r="A116" s="1" t="str">
        <f>'01 Product Master'!A116</f>
        <v>SN-0115</v>
      </c>
      <c r="B116" s="1" t="str">
        <f>'01 Product Master'!C116</f>
        <v>Kencur</v>
      </c>
      <c r="C116" s="7" t="str">
        <f>'01 Product Master'!J116</f>
        <v/>
      </c>
      <c r="D116" s="7" t="str">
        <f>'01 Product Master'!K116</f>
        <v/>
      </c>
      <c r="E116" s="7" t="str">
        <f>'01 Product Master'!L116</f>
        <v/>
      </c>
      <c r="F116" s="7" t="str">
        <f>'01 Product Master'!M116</f>
        <v/>
      </c>
      <c r="G116" s="7" t="str">
        <f>'01 Product Master'!N116</f>
        <v/>
      </c>
      <c r="H116" s="7">
        <f>'01 Product Master'!O116</f>
        <v>0</v>
      </c>
      <c r="I116" s="7" t="str">
        <f>'01 Product Master'!P116</f>
        <v/>
      </c>
      <c r="J116" s="2" t="str">
        <f>'01 Product Master'!Q116</f>
        <v/>
      </c>
      <c r="K116" s="1"/>
    </row>
    <row r="117" spans="1:11" ht="16" x14ac:dyDescent="0.2">
      <c r="A117" s="1" t="str">
        <f>'01 Product Master'!A117</f>
        <v>SN-0116</v>
      </c>
      <c r="B117" s="1" t="str">
        <f>'01 Product Master'!C117</f>
        <v>Jahe</v>
      </c>
      <c r="C117" s="7" t="str">
        <f>'01 Product Master'!J117</f>
        <v/>
      </c>
      <c r="D117" s="7" t="str">
        <f>'01 Product Master'!K117</f>
        <v/>
      </c>
      <c r="E117" s="7" t="str">
        <f>'01 Product Master'!L117</f>
        <v/>
      </c>
      <c r="F117" s="7" t="str">
        <f>'01 Product Master'!M117</f>
        <v/>
      </c>
      <c r="G117" s="7" t="str">
        <f>'01 Product Master'!N117</f>
        <v/>
      </c>
      <c r="H117" s="7">
        <f>'01 Product Master'!O117</f>
        <v>0</v>
      </c>
      <c r="I117" s="7" t="str">
        <f>'01 Product Master'!P117</f>
        <v/>
      </c>
      <c r="J117" s="2" t="str">
        <f>'01 Product Master'!Q117</f>
        <v/>
      </c>
      <c r="K117" s="1"/>
    </row>
    <row r="118" spans="1:11" ht="16" x14ac:dyDescent="0.2">
      <c r="A118" s="1" t="str">
        <f>'01 Product Master'!A118</f>
        <v>SN-0117</v>
      </c>
      <c r="B118" s="1" t="str">
        <f>'01 Product Master'!C118</f>
        <v>Gula Merah</v>
      </c>
      <c r="C118" s="7" t="str">
        <f>'01 Product Master'!J118</f>
        <v/>
      </c>
      <c r="D118" s="7" t="str">
        <f>'01 Product Master'!K118</f>
        <v/>
      </c>
      <c r="E118" s="7" t="str">
        <f>'01 Product Master'!L118</f>
        <v/>
      </c>
      <c r="F118" s="7" t="str">
        <f>'01 Product Master'!M118</f>
        <v/>
      </c>
      <c r="G118" s="7" t="str">
        <f>'01 Product Master'!N118</f>
        <v/>
      </c>
      <c r="H118" s="7">
        <f>'01 Product Master'!O118</f>
        <v>0</v>
      </c>
      <c r="I118" s="7" t="str">
        <f>'01 Product Master'!P118</f>
        <v/>
      </c>
      <c r="J118" s="2" t="str">
        <f>'01 Product Master'!Q118</f>
        <v/>
      </c>
      <c r="K118" s="1"/>
    </row>
    <row r="119" spans="1:11" ht="16" x14ac:dyDescent="0.2">
      <c r="A119" s="1" t="str">
        <f>'01 Product Master'!A119</f>
        <v>SN-0118</v>
      </c>
      <c r="B119" s="1" t="str">
        <f>'01 Product Master'!C119</f>
        <v>Gula Aren</v>
      </c>
      <c r="C119" s="7" t="str">
        <f>'01 Product Master'!J119</f>
        <v/>
      </c>
      <c r="D119" s="7" t="str">
        <f>'01 Product Master'!K119</f>
        <v/>
      </c>
      <c r="E119" s="7" t="str">
        <f>'01 Product Master'!L119</f>
        <v/>
      </c>
      <c r="F119" s="7" t="str">
        <f>'01 Product Master'!M119</f>
        <v/>
      </c>
      <c r="G119" s="7" t="str">
        <f>'01 Product Master'!N119</f>
        <v/>
      </c>
      <c r="H119" s="7">
        <f>'01 Product Master'!O119</f>
        <v>0</v>
      </c>
      <c r="I119" s="7" t="str">
        <f>'01 Product Master'!P119</f>
        <v/>
      </c>
      <c r="J119" s="2" t="str">
        <f>'01 Product Master'!Q119</f>
        <v/>
      </c>
      <c r="K119" s="1"/>
    </row>
    <row r="120" spans="1:11" ht="16" x14ac:dyDescent="0.2">
      <c r="A120" s="1" t="str">
        <f>'01 Product Master'!A120</f>
        <v>SN-0119</v>
      </c>
      <c r="B120" s="1" t="str">
        <f>'01 Product Master'!C120</f>
        <v>Santan Kara</v>
      </c>
      <c r="C120" s="7" t="str">
        <f>'01 Product Master'!J120</f>
        <v/>
      </c>
      <c r="D120" s="7" t="str">
        <f>'01 Product Master'!K120</f>
        <v/>
      </c>
      <c r="E120" s="7" t="str">
        <f>'01 Product Master'!L120</f>
        <v/>
      </c>
      <c r="F120" s="7" t="str">
        <f>'01 Product Master'!M120</f>
        <v/>
      </c>
      <c r="G120" s="7" t="str">
        <f>'01 Product Master'!N120</f>
        <v/>
      </c>
      <c r="H120" s="7">
        <f>'01 Product Master'!O120</f>
        <v>0</v>
      </c>
      <c r="I120" s="7" t="str">
        <f>'01 Product Master'!P120</f>
        <v/>
      </c>
      <c r="J120" s="2" t="str">
        <f>'01 Product Master'!Q120</f>
        <v/>
      </c>
      <c r="K120" s="1"/>
    </row>
    <row r="121" spans="1:11" ht="16" x14ac:dyDescent="0.2">
      <c r="A121" s="1" t="str">
        <f>'01 Product Master'!A121</f>
        <v>SN-0120</v>
      </c>
      <c r="B121" s="1" t="str">
        <f>'01 Product Master'!C121</f>
        <v>Tepung Tapioka</v>
      </c>
      <c r="C121" s="7" t="str">
        <f>'01 Product Master'!J121</f>
        <v/>
      </c>
      <c r="D121" s="7" t="str">
        <f>'01 Product Master'!K121</f>
        <v/>
      </c>
      <c r="E121" s="7" t="str">
        <f>'01 Product Master'!L121</f>
        <v/>
      </c>
      <c r="F121" s="7" t="str">
        <f>'01 Product Master'!M121</f>
        <v/>
      </c>
      <c r="G121" s="7" t="str">
        <f>'01 Product Master'!N121</f>
        <v/>
      </c>
      <c r="H121" s="7">
        <f>'01 Product Master'!O121</f>
        <v>0</v>
      </c>
      <c r="I121" s="7" t="str">
        <f>'01 Product Master'!P121</f>
        <v/>
      </c>
      <c r="J121" s="2" t="str">
        <f>'01 Product Master'!Q121</f>
        <v/>
      </c>
      <c r="K121" s="1"/>
    </row>
    <row r="122" spans="1:11" ht="16" x14ac:dyDescent="0.2">
      <c r="A122" s="1" t="str">
        <f>'01 Product Master'!A122</f>
        <v>SN-0121</v>
      </c>
      <c r="B122" s="1" t="str">
        <f>'01 Product Master'!C122</f>
        <v>Tepung Beras</v>
      </c>
      <c r="C122" s="7" t="str">
        <f>'01 Product Master'!J122</f>
        <v/>
      </c>
      <c r="D122" s="7" t="str">
        <f>'01 Product Master'!K122</f>
        <v/>
      </c>
      <c r="E122" s="7" t="str">
        <f>'01 Product Master'!L122</f>
        <v/>
      </c>
      <c r="F122" s="7" t="str">
        <f>'01 Product Master'!M122</f>
        <v/>
      </c>
      <c r="G122" s="7" t="str">
        <f>'01 Product Master'!N122</f>
        <v/>
      </c>
      <c r="H122" s="7">
        <f>'01 Product Master'!O122</f>
        <v>0</v>
      </c>
      <c r="I122" s="7" t="str">
        <f>'01 Product Master'!P122</f>
        <v/>
      </c>
      <c r="J122" s="2" t="str">
        <f>'01 Product Master'!Q122</f>
        <v/>
      </c>
      <c r="K122" s="1"/>
    </row>
    <row r="123" spans="1:11" ht="16" x14ac:dyDescent="0.2">
      <c r="A123" s="1" t="str">
        <f>'01 Product Master'!A123</f>
        <v>SN-0122</v>
      </c>
      <c r="B123" s="1" t="str">
        <f>'01 Product Master'!C123</f>
        <v>Tepung Terigu</v>
      </c>
      <c r="C123" s="7" t="str">
        <f>'01 Product Master'!J123</f>
        <v/>
      </c>
      <c r="D123" s="7" t="str">
        <f>'01 Product Master'!K123</f>
        <v/>
      </c>
      <c r="E123" s="7" t="str">
        <f>'01 Product Master'!L123</f>
        <v/>
      </c>
      <c r="F123" s="7" t="str">
        <f>'01 Product Master'!M123</f>
        <v/>
      </c>
      <c r="G123" s="7" t="str">
        <f>'01 Product Master'!N123</f>
        <v/>
      </c>
      <c r="H123" s="7">
        <f>'01 Product Master'!O123</f>
        <v>0</v>
      </c>
      <c r="I123" s="7" t="str">
        <f>'01 Product Master'!P123</f>
        <v/>
      </c>
      <c r="J123" s="2" t="str">
        <f>'01 Product Master'!Q123</f>
        <v/>
      </c>
      <c r="K123" s="1"/>
    </row>
    <row r="124" spans="1:11" ht="16" x14ac:dyDescent="0.2">
      <c r="A124" s="1" t="str">
        <f>'01 Product Master'!A124</f>
        <v>SN-0123</v>
      </c>
      <c r="B124" s="1" t="str">
        <f>'01 Product Master'!C124</f>
        <v>Terasi</v>
      </c>
      <c r="C124" s="7" t="str">
        <f>'01 Product Master'!J124</f>
        <v/>
      </c>
      <c r="D124" s="7" t="str">
        <f>'01 Product Master'!K124</f>
        <v/>
      </c>
      <c r="E124" s="7" t="str">
        <f>'01 Product Master'!L124</f>
        <v/>
      </c>
      <c r="F124" s="7" t="str">
        <f>'01 Product Master'!M124</f>
        <v/>
      </c>
      <c r="G124" s="7" t="str">
        <f>'01 Product Master'!N124</f>
        <v/>
      </c>
      <c r="H124" s="7">
        <f>'01 Product Master'!O124</f>
        <v>0</v>
      </c>
      <c r="I124" s="7" t="str">
        <f>'01 Product Master'!P124</f>
        <v/>
      </c>
      <c r="J124" s="2" t="str">
        <f>'01 Product Master'!Q124</f>
        <v/>
      </c>
      <c r="K124" s="1"/>
    </row>
    <row r="125" spans="1:11" ht="16" x14ac:dyDescent="0.2">
      <c r="A125" s="1" t="str">
        <f>'01 Product Master'!A125</f>
        <v>SN-0124</v>
      </c>
      <c r="B125" s="1" t="str">
        <f>'01 Product Master'!C125</f>
        <v>Kecap Asin</v>
      </c>
      <c r="C125" s="7" t="str">
        <f>'01 Product Master'!J125</f>
        <v/>
      </c>
      <c r="D125" s="7" t="str">
        <f>'01 Product Master'!K125</f>
        <v/>
      </c>
      <c r="E125" s="7" t="str">
        <f>'01 Product Master'!L125</f>
        <v/>
      </c>
      <c r="F125" s="7" t="str">
        <f>'01 Product Master'!M125</f>
        <v/>
      </c>
      <c r="G125" s="7" t="str">
        <f>'01 Product Master'!N125</f>
        <v/>
      </c>
      <c r="H125" s="7">
        <f>'01 Product Master'!O125</f>
        <v>0</v>
      </c>
      <c r="I125" s="7" t="str">
        <f>'01 Product Master'!P125</f>
        <v/>
      </c>
      <c r="J125" s="2" t="str">
        <f>'01 Product Master'!Q125</f>
        <v/>
      </c>
      <c r="K125" s="1"/>
    </row>
    <row r="126" spans="1:11" ht="16" x14ac:dyDescent="0.2">
      <c r="A126" s="1" t="str">
        <f>'01 Product Master'!A126</f>
        <v>SN-0125</v>
      </c>
      <c r="B126" s="1" t="str">
        <f>'01 Product Master'!C126</f>
        <v>Cuka Masak</v>
      </c>
      <c r="C126" s="7" t="str">
        <f>'01 Product Master'!J126</f>
        <v/>
      </c>
      <c r="D126" s="7" t="str">
        <f>'01 Product Master'!K126</f>
        <v/>
      </c>
      <c r="E126" s="7" t="str">
        <f>'01 Product Master'!L126</f>
        <v/>
      </c>
      <c r="F126" s="7" t="str">
        <f>'01 Product Master'!M126</f>
        <v/>
      </c>
      <c r="G126" s="7" t="str">
        <f>'01 Product Master'!N126</f>
        <v/>
      </c>
      <c r="H126" s="7">
        <f>'01 Product Master'!O126</f>
        <v>0</v>
      </c>
      <c r="I126" s="7" t="str">
        <f>'01 Product Master'!P126</f>
        <v/>
      </c>
      <c r="J126" s="2" t="str">
        <f>'01 Product Master'!Q126</f>
        <v/>
      </c>
      <c r="K126" s="1"/>
    </row>
    <row r="127" spans="1:11" ht="16" x14ac:dyDescent="0.2">
      <c r="A127" s="1" t="str">
        <f>'01 Product Master'!A127</f>
        <v>SN-0126</v>
      </c>
      <c r="B127" s="1" t="str">
        <f>'01 Product Master'!C127</f>
        <v>Kacang Tanah</v>
      </c>
      <c r="C127" s="7" t="str">
        <f>'01 Product Master'!J127</f>
        <v/>
      </c>
      <c r="D127" s="7" t="str">
        <f>'01 Product Master'!K127</f>
        <v/>
      </c>
      <c r="E127" s="7" t="str">
        <f>'01 Product Master'!L127</f>
        <v/>
      </c>
      <c r="F127" s="7" t="str">
        <f>'01 Product Master'!M127</f>
        <v/>
      </c>
      <c r="G127" s="7" t="str">
        <f>'01 Product Master'!N127</f>
        <v/>
      </c>
      <c r="H127" s="7">
        <f>'01 Product Master'!O127</f>
        <v>0</v>
      </c>
      <c r="I127" s="7" t="str">
        <f>'01 Product Master'!P127</f>
        <v/>
      </c>
      <c r="J127" s="2" t="str">
        <f>'01 Product Master'!Q127</f>
        <v/>
      </c>
      <c r="K127" s="1"/>
    </row>
    <row r="128" spans="1:11" ht="16" x14ac:dyDescent="0.2">
      <c r="A128" s="1" t="str">
        <f>'01 Product Master'!A128</f>
        <v>SN-0127</v>
      </c>
      <c r="B128" s="1" t="str">
        <f>'01 Product Master'!C128</f>
        <v>Kacang Ijo</v>
      </c>
      <c r="C128" s="7" t="str">
        <f>'01 Product Master'!J128</f>
        <v/>
      </c>
      <c r="D128" s="7" t="str">
        <f>'01 Product Master'!K128</f>
        <v/>
      </c>
      <c r="E128" s="7" t="str">
        <f>'01 Product Master'!L128</f>
        <v/>
      </c>
      <c r="F128" s="7" t="str">
        <f>'01 Product Master'!M128</f>
        <v/>
      </c>
      <c r="G128" s="7" t="str">
        <f>'01 Product Master'!N128</f>
        <v/>
      </c>
      <c r="H128" s="7">
        <f>'01 Product Master'!O128</f>
        <v>0</v>
      </c>
      <c r="I128" s="7" t="str">
        <f>'01 Product Master'!P128</f>
        <v/>
      </c>
      <c r="J128" s="2" t="str">
        <f>'01 Product Master'!Q128</f>
        <v/>
      </c>
      <c r="K128" s="1"/>
    </row>
    <row r="129" spans="1:11" ht="16" x14ac:dyDescent="0.2">
      <c r="A129" s="1" t="str">
        <f>'01 Product Master'!A129</f>
        <v>SN-0128</v>
      </c>
      <c r="B129" s="1" t="str">
        <f>'01 Product Master'!C129</f>
        <v>Kacang Kedelai</v>
      </c>
      <c r="C129" s="7" t="str">
        <f>'01 Product Master'!J129</f>
        <v/>
      </c>
      <c r="D129" s="7" t="str">
        <f>'01 Product Master'!K129</f>
        <v/>
      </c>
      <c r="E129" s="7" t="str">
        <f>'01 Product Master'!L129</f>
        <v/>
      </c>
      <c r="F129" s="7" t="str">
        <f>'01 Product Master'!M129</f>
        <v/>
      </c>
      <c r="G129" s="7" t="str">
        <f>'01 Product Master'!N129</f>
        <v/>
      </c>
      <c r="H129" s="7">
        <f>'01 Product Master'!O129</f>
        <v>0</v>
      </c>
      <c r="I129" s="7" t="str">
        <f>'01 Product Master'!P129</f>
        <v/>
      </c>
      <c r="J129" s="2" t="str">
        <f>'01 Product Master'!Q129</f>
        <v/>
      </c>
      <c r="K129" s="1"/>
    </row>
    <row r="130" spans="1:11" ht="16" x14ac:dyDescent="0.2">
      <c r="A130" s="1" t="str">
        <f>'01 Product Master'!A130</f>
        <v>SN-0129</v>
      </c>
      <c r="B130" s="1" t="str">
        <f>'01 Product Master'!C130</f>
        <v xml:space="preserve">Good Day Cappucino </v>
      </c>
      <c r="C130" s="7">
        <f>'01 Product Master'!J130</f>
        <v>960</v>
      </c>
      <c r="D130" s="7">
        <f>'01 Product Master'!K130</f>
        <v>960</v>
      </c>
      <c r="E130" s="7">
        <f>'01 Product Master'!L130</f>
        <v>910</v>
      </c>
      <c r="F130" s="7">
        <f>'01 Product Master'!M130</f>
        <v>880</v>
      </c>
      <c r="G130" s="7">
        <f>'01 Product Master'!N130</f>
        <v>840</v>
      </c>
      <c r="H130" s="7">
        <f>'01 Product Master'!O130</f>
        <v>0</v>
      </c>
      <c r="I130" s="7" t="str">
        <f>'01 Product Master'!P130</f>
        <v/>
      </c>
      <c r="J130" s="2" t="str">
        <f>'01 Product Master'!Q130</f>
        <v/>
      </c>
      <c r="K130" s="1"/>
    </row>
    <row r="131" spans="1:11" ht="16" x14ac:dyDescent="0.2">
      <c r="A131" s="1" t="str">
        <f>'01 Product Master'!A131</f>
        <v>SN-0130</v>
      </c>
      <c r="B131" s="1" t="str">
        <f>'01 Product Master'!C131</f>
        <v>Max Tea</v>
      </c>
      <c r="C131" s="7" t="str">
        <f>'01 Product Master'!J131</f>
        <v/>
      </c>
      <c r="D131" s="7" t="str">
        <f>'01 Product Master'!K131</f>
        <v/>
      </c>
      <c r="E131" s="7" t="str">
        <f>'01 Product Master'!L131</f>
        <v/>
      </c>
      <c r="F131" s="7" t="str">
        <f>'01 Product Master'!M131</f>
        <v/>
      </c>
      <c r="G131" s="7" t="str">
        <f>'01 Product Master'!N131</f>
        <v/>
      </c>
      <c r="H131" s="7">
        <f>'01 Product Master'!O131</f>
        <v>0</v>
      </c>
      <c r="I131" s="7" t="str">
        <f>'01 Product Master'!P131</f>
        <v/>
      </c>
      <c r="J131" s="2" t="str">
        <f>'01 Product Master'!Q131</f>
        <v/>
      </c>
      <c r="K131" s="1"/>
    </row>
    <row r="132" spans="1:11" ht="16" x14ac:dyDescent="0.2">
      <c r="A132" s="1" t="str">
        <f>'01 Product Master'!A132</f>
        <v>SN-0131</v>
      </c>
      <c r="B132" s="1" t="str">
        <f>'01 Product Master'!C132</f>
        <v>Chocolatos Matcha sachet</v>
      </c>
      <c r="C132" s="7" t="str">
        <f>'01 Product Master'!J132</f>
        <v/>
      </c>
      <c r="D132" s="7" t="str">
        <f>'01 Product Master'!K132</f>
        <v/>
      </c>
      <c r="E132" s="7" t="str">
        <f>'01 Product Master'!L132</f>
        <v/>
      </c>
      <c r="F132" s="7" t="str">
        <f>'01 Product Master'!M132</f>
        <v/>
      </c>
      <c r="G132" s="7" t="str">
        <f>'01 Product Master'!N132</f>
        <v/>
      </c>
      <c r="H132" s="7">
        <f>'01 Product Master'!O132</f>
        <v>0</v>
      </c>
      <c r="I132" s="7" t="str">
        <f>'01 Product Master'!P132</f>
        <v/>
      </c>
      <c r="J132" s="2" t="str">
        <f>'01 Product Master'!Q132</f>
        <v/>
      </c>
      <c r="K132" s="1"/>
    </row>
    <row r="133" spans="1:11" ht="16" x14ac:dyDescent="0.2">
      <c r="A133" s="1" t="str">
        <f>'01 Product Master'!A133</f>
        <v>SN-0132</v>
      </c>
      <c r="B133" s="1" t="str">
        <f>'01 Product Master'!C133</f>
        <v>Chocolatos Cokelat Sachet</v>
      </c>
      <c r="C133" s="7" t="str">
        <f>'01 Product Master'!J133</f>
        <v/>
      </c>
      <c r="D133" s="7" t="str">
        <f>'01 Product Master'!K133</f>
        <v/>
      </c>
      <c r="E133" s="7" t="str">
        <f>'01 Product Master'!L133</f>
        <v/>
      </c>
      <c r="F133" s="7" t="str">
        <f>'01 Product Master'!M133</f>
        <v/>
      </c>
      <c r="G133" s="7" t="str">
        <f>'01 Product Master'!N133</f>
        <v/>
      </c>
      <c r="H133" s="7">
        <f>'01 Product Master'!O133</f>
        <v>0</v>
      </c>
      <c r="I133" s="7" t="str">
        <f>'01 Product Master'!P133</f>
        <v/>
      </c>
      <c r="J133" s="2" t="str">
        <f>'01 Product Master'!Q133</f>
        <v/>
      </c>
      <c r="K133" s="1"/>
    </row>
    <row r="134" spans="1:11" ht="16" x14ac:dyDescent="0.2">
      <c r="A134" s="1" t="str">
        <f>'01 Product Master'!A134</f>
        <v>SN-0133</v>
      </c>
      <c r="B134" s="1" t="str">
        <f>'01 Product Master'!C134</f>
        <v>Kukubima Royal Jelly</v>
      </c>
      <c r="C134" s="7" t="str">
        <f>'01 Product Master'!J134</f>
        <v/>
      </c>
      <c r="D134" s="7" t="str">
        <f>'01 Product Master'!K134</f>
        <v/>
      </c>
      <c r="E134" s="7" t="str">
        <f>'01 Product Master'!L134</f>
        <v/>
      </c>
      <c r="F134" s="7" t="str">
        <f>'01 Product Master'!M134</f>
        <v/>
      </c>
      <c r="G134" s="7" t="str">
        <f>'01 Product Master'!N134</f>
        <v/>
      </c>
      <c r="H134" s="7">
        <f>'01 Product Master'!O134</f>
        <v>0</v>
      </c>
      <c r="I134" s="7" t="str">
        <f>'01 Product Master'!P134</f>
        <v/>
      </c>
      <c r="J134" s="2" t="str">
        <f>'01 Product Master'!Q134</f>
        <v/>
      </c>
      <c r="K134" s="1"/>
    </row>
    <row r="135" spans="1:11" ht="16" x14ac:dyDescent="0.2">
      <c r="A135" s="1" t="str">
        <f>'01 Product Master'!A135</f>
        <v>SN-0134</v>
      </c>
      <c r="B135" s="1" t="str">
        <f>'01 Product Master'!C135</f>
        <v>Energen Vanilla</v>
      </c>
      <c r="C135" s="7" t="str">
        <f>'01 Product Master'!J135</f>
        <v/>
      </c>
      <c r="D135" s="7" t="str">
        <f>'01 Product Master'!K135</f>
        <v/>
      </c>
      <c r="E135" s="7" t="str">
        <f>'01 Product Master'!L135</f>
        <v/>
      </c>
      <c r="F135" s="7" t="str">
        <f>'01 Product Master'!M135</f>
        <v/>
      </c>
      <c r="G135" s="7" t="str">
        <f>'01 Product Master'!N135</f>
        <v/>
      </c>
      <c r="H135" s="7">
        <f>'01 Product Master'!O135</f>
        <v>0</v>
      </c>
      <c r="I135" s="7" t="str">
        <f>'01 Product Master'!P135</f>
        <v/>
      </c>
      <c r="J135" s="2" t="str">
        <f>'01 Product Master'!Q135</f>
        <v/>
      </c>
      <c r="K135" s="1"/>
    </row>
    <row r="136" spans="1:11" ht="16" x14ac:dyDescent="0.2">
      <c r="A136" s="1" t="str">
        <f>'01 Product Master'!A136</f>
        <v>SN-0135</v>
      </c>
      <c r="B136" s="1" t="str">
        <f>'01 Product Master'!C136</f>
        <v>Energen Jahe</v>
      </c>
      <c r="C136" s="7" t="str">
        <f>'01 Product Master'!J136</f>
        <v/>
      </c>
      <c r="D136" s="7" t="str">
        <f>'01 Product Master'!K136</f>
        <v/>
      </c>
      <c r="E136" s="7" t="str">
        <f>'01 Product Master'!L136</f>
        <v/>
      </c>
      <c r="F136" s="7" t="str">
        <f>'01 Product Master'!M136</f>
        <v/>
      </c>
      <c r="G136" s="7" t="str">
        <f>'01 Product Master'!N136</f>
        <v/>
      </c>
      <c r="H136" s="7">
        <f>'01 Product Master'!O136</f>
        <v>0</v>
      </c>
      <c r="I136" s="7" t="str">
        <f>'01 Product Master'!P136</f>
        <v/>
      </c>
      <c r="J136" s="2" t="str">
        <f>'01 Product Master'!Q136</f>
        <v/>
      </c>
      <c r="K136" s="1"/>
    </row>
    <row r="137" spans="1:11" ht="16" x14ac:dyDescent="0.2">
      <c r="A137" s="1" t="str">
        <f>'01 Product Master'!A137</f>
        <v>SN-0136</v>
      </c>
      <c r="B137" s="1" t="str">
        <f>'01 Product Master'!C137</f>
        <v>Energen Kacang Hijau</v>
      </c>
      <c r="C137" s="7" t="str">
        <f>'01 Product Master'!J137</f>
        <v/>
      </c>
      <c r="D137" s="7" t="str">
        <f>'01 Product Master'!K137</f>
        <v/>
      </c>
      <c r="E137" s="7" t="str">
        <f>'01 Product Master'!L137</f>
        <v/>
      </c>
      <c r="F137" s="7" t="str">
        <f>'01 Product Master'!M137</f>
        <v/>
      </c>
      <c r="G137" s="7" t="str">
        <f>'01 Product Master'!N137</f>
        <v/>
      </c>
      <c r="H137" s="7">
        <f>'01 Product Master'!O137</f>
        <v>0</v>
      </c>
      <c r="I137" s="7" t="str">
        <f>'01 Product Master'!P137</f>
        <v/>
      </c>
      <c r="J137" s="2" t="str">
        <f>'01 Product Master'!Q137</f>
        <v/>
      </c>
      <c r="K137" s="1"/>
    </row>
    <row r="138" spans="1:11" ht="16" x14ac:dyDescent="0.2">
      <c r="A138" s="1" t="str">
        <f>'01 Product Master'!A138</f>
        <v>SN-0137</v>
      </c>
      <c r="B138" s="1" t="str">
        <f>'01 Product Master'!C138</f>
        <v>Energen Cokelat</v>
      </c>
      <c r="C138" s="7" t="str">
        <f>'01 Product Master'!J138</f>
        <v/>
      </c>
      <c r="D138" s="7" t="str">
        <f>'01 Product Master'!K138</f>
        <v/>
      </c>
      <c r="E138" s="7" t="str">
        <f>'01 Product Master'!L138</f>
        <v/>
      </c>
      <c r="F138" s="7" t="str">
        <f>'01 Product Master'!M138</f>
        <v/>
      </c>
      <c r="G138" s="7" t="str">
        <f>'01 Product Master'!N138</f>
        <v/>
      </c>
      <c r="H138" s="7">
        <f>'01 Product Master'!O138</f>
        <v>0</v>
      </c>
      <c r="I138" s="7" t="str">
        <f>'01 Product Master'!P138</f>
        <v/>
      </c>
      <c r="J138" s="2" t="str">
        <f>'01 Product Master'!Q138</f>
        <v/>
      </c>
      <c r="K138" s="1"/>
    </row>
    <row r="139" spans="1:11" ht="16" x14ac:dyDescent="0.2">
      <c r="A139" s="1" t="str">
        <f>'01 Product Master'!A139</f>
        <v>SN-0138</v>
      </c>
      <c r="B139" s="1" t="str">
        <f>'01 Product Master'!C139</f>
        <v>Nutrijell all varian</v>
      </c>
      <c r="C139" s="7" t="str">
        <f>'01 Product Master'!J139</f>
        <v/>
      </c>
      <c r="D139" s="7" t="str">
        <f>'01 Product Master'!K139</f>
        <v/>
      </c>
      <c r="E139" s="7" t="str">
        <f>'01 Product Master'!L139</f>
        <v/>
      </c>
      <c r="F139" s="7" t="str">
        <f>'01 Product Master'!M139</f>
        <v/>
      </c>
      <c r="G139" s="7" t="str">
        <f>'01 Product Master'!N139</f>
        <v/>
      </c>
      <c r="H139" s="7">
        <f>'01 Product Master'!O139</f>
        <v>0</v>
      </c>
      <c r="I139" s="7" t="str">
        <f>'01 Product Master'!P139</f>
        <v/>
      </c>
      <c r="J139" s="2" t="str">
        <f>'01 Product Master'!Q139</f>
        <v/>
      </c>
      <c r="K139" s="1"/>
    </row>
    <row r="140" spans="1:11" ht="16" x14ac:dyDescent="0.2">
      <c r="A140" s="1" t="str">
        <f>'01 Product Master'!A140</f>
        <v>SN-0139</v>
      </c>
      <c r="B140" s="1" t="str">
        <f>'01 Product Master'!C140</f>
        <v>Dancow Sachet</v>
      </c>
      <c r="C140" s="7" t="str">
        <f>'01 Product Master'!J140</f>
        <v/>
      </c>
      <c r="D140" s="7" t="str">
        <f>'01 Product Master'!K140</f>
        <v/>
      </c>
      <c r="E140" s="7" t="str">
        <f>'01 Product Master'!L140</f>
        <v/>
      </c>
      <c r="F140" s="7" t="str">
        <f>'01 Product Master'!M140</f>
        <v/>
      </c>
      <c r="G140" s="7" t="str">
        <f>'01 Product Master'!N140</f>
        <v/>
      </c>
      <c r="H140" s="7">
        <f>'01 Product Master'!O140</f>
        <v>0</v>
      </c>
      <c r="I140" s="7" t="str">
        <f>'01 Product Master'!P140</f>
        <v/>
      </c>
      <c r="J140" s="2" t="str">
        <f>'01 Product Master'!Q140</f>
        <v/>
      </c>
      <c r="K140" s="1"/>
    </row>
    <row r="141" spans="1:11" ht="16" x14ac:dyDescent="0.2">
      <c r="A141" s="1" t="str">
        <f>'01 Product Master'!A141</f>
        <v>SN-0140</v>
      </c>
      <c r="B141" s="1" t="str">
        <f>'01 Product Master'!C141</f>
        <v>Milo Sachet</v>
      </c>
      <c r="C141" s="7" t="str">
        <f>'01 Product Master'!J141</f>
        <v/>
      </c>
      <c r="D141" s="7" t="str">
        <f>'01 Product Master'!K141</f>
        <v/>
      </c>
      <c r="E141" s="7" t="str">
        <f>'01 Product Master'!L141</f>
        <v/>
      </c>
      <c r="F141" s="7" t="str">
        <f>'01 Product Master'!M141</f>
        <v/>
      </c>
      <c r="G141" s="7" t="str">
        <f>'01 Product Master'!N141</f>
        <v/>
      </c>
      <c r="H141" s="7">
        <f>'01 Product Master'!O141</f>
        <v>0</v>
      </c>
      <c r="I141" s="7" t="str">
        <f>'01 Product Master'!P141</f>
        <v/>
      </c>
      <c r="J141" s="2" t="str">
        <f>'01 Product Master'!Q141</f>
        <v/>
      </c>
      <c r="K141" s="1"/>
    </row>
    <row r="142" spans="1:11" ht="16" x14ac:dyDescent="0.2">
      <c r="A142" s="1" t="str">
        <f>'01 Product Master'!A142</f>
        <v>SN-0141</v>
      </c>
      <c r="B142" s="1" t="str">
        <f>'01 Product Master'!C142</f>
        <v>Nutrisari Jeruk</v>
      </c>
      <c r="C142" s="7" t="str">
        <f>'01 Product Master'!J142</f>
        <v/>
      </c>
      <c r="D142" s="7" t="str">
        <f>'01 Product Master'!K142</f>
        <v/>
      </c>
      <c r="E142" s="7" t="str">
        <f>'01 Product Master'!L142</f>
        <v/>
      </c>
      <c r="F142" s="7" t="str">
        <f>'01 Product Master'!M142</f>
        <v/>
      </c>
      <c r="G142" s="7" t="str">
        <f>'01 Product Master'!N142</f>
        <v/>
      </c>
      <c r="H142" s="7">
        <f>'01 Product Master'!O142</f>
        <v>0</v>
      </c>
      <c r="I142" s="7" t="str">
        <f>'01 Product Master'!P142</f>
        <v/>
      </c>
      <c r="J142" s="2" t="str">
        <f>'01 Product Master'!Q142</f>
        <v/>
      </c>
      <c r="K142" s="1"/>
    </row>
    <row r="143" spans="1:11" ht="16" x14ac:dyDescent="0.2">
      <c r="A143" s="1" t="str">
        <f>'01 Product Master'!A143</f>
        <v>SN-0142</v>
      </c>
      <c r="B143" s="1" t="str">
        <f>'01 Product Master'!C143</f>
        <v>Nutrisari Jeruk Peras</v>
      </c>
      <c r="C143" s="7" t="str">
        <f>'01 Product Master'!J143</f>
        <v/>
      </c>
      <c r="D143" s="7" t="str">
        <f>'01 Product Master'!K143</f>
        <v/>
      </c>
      <c r="E143" s="7" t="str">
        <f>'01 Product Master'!L143</f>
        <v/>
      </c>
      <c r="F143" s="7" t="str">
        <f>'01 Product Master'!M143</f>
        <v/>
      </c>
      <c r="G143" s="7" t="str">
        <f>'01 Product Master'!N143</f>
        <v/>
      </c>
      <c r="H143" s="7">
        <f>'01 Product Master'!O143</f>
        <v>0</v>
      </c>
      <c r="I143" s="7" t="str">
        <f>'01 Product Master'!P143</f>
        <v/>
      </c>
      <c r="J143" s="2" t="str">
        <f>'01 Product Master'!Q143</f>
        <v/>
      </c>
      <c r="K143" s="1"/>
    </row>
    <row r="144" spans="1:11" ht="16" x14ac:dyDescent="0.2">
      <c r="A144" s="1" t="str">
        <f>'01 Product Master'!A144</f>
        <v>SN-0143</v>
      </c>
      <c r="B144" s="1" t="str">
        <f>'01 Product Master'!C144</f>
        <v>Caffee Mix</v>
      </c>
      <c r="C144" s="7" t="str">
        <f>'01 Product Master'!J144</f>
        <v/>
      </c>
      <c r="D144" s="7" t="str">
        <f>'01 Product Master'!K144</f>
        <v/>
      </c>
      <c r="E144" s="7" t="str">
        <f>'01 Product Master'!L144</f>
        <v/>
      </c>
      <c r="F144" s="7" t="str">
        <f>'01 Product Master'!M144</f>
        <v/>
      </c>
      <c r="G144" s="7" t="str">
        <f>'01 Product Master'!N144</f>
        <v/>
      </c>
      <c r="H144" s="7">
        <f>'01 Product Master'!O144</f>
        <v>0</v>
      </c>
      <c r="I144" s="7" t="str">
        <f>'01 Product Master'!P144</f>
        <v/>
      </c>
      <c r="J144" s="2" t="str">
        <f>'01 Product Master'!Q144</f>
        <v/>
      </c>
      <c r="K144" s="1"/>
    </row>
    <row r="145" spans="1:11" ht="16" x14ac:dyDescent="0.2">
      <c r="A145" s="1" t="str">
        <f>'01 Product Master'!A145</f>
        <v>SN-0144</v>
      </c>
      <c r="B145" s="1" t="str">
        <f>'01 Product Master'!C145</f>
        <v>Indomilk Sachet full cream</v>
      </c>
      <c r="C145" s="7" t="str">
        <f>'01 Product Master'!J145</f>
        <v/>
      </c>
      <c r="D145" s="7" t="str">
        <f>'01 Product Master'!K145</f>
        <v/>
      </c>
      <c r="E145" s="7" t="str">
        <f>'01 Product Master'!L145</f>
        <v/>
      </c>
      <c r="F145" s="7" t="str">
        <f>'01 Product Master'!M145</f>
        <v/>
      </c>
      <c r="G145" s="7" t="str">
        <f>'01 Product Master'!N145</f>
        <v/>
      </c>
      <c r="H145" s="7">
        <f>'01 Product Master'!O145</f>
        <v>0</v>
      </c>
      <c r="I145" s="7" t="str">
        <f>'01 Product Master'!P145</f>
        <v/>
      </c>
      <c r="J145" s="2" t="str">
        <f>'01 Product Master'!Q145</f>
        <v/>
      </c>
      <c r="K145" s="1"/>
    </row>
    <row r="146" spans="1:11" ht="16" x14ac:dyDescent="0.2">
      <c r="A146" s="1" t="str">
        <f>'01 Product Master'!A146</f>
        <v>SN-0145</v>
      </c>
      <c r="B146" s="1" t="str">
        <f>'01 Product Master'!C146</f>
        <v>Jahe Merah AMH</v>
      </c>
      <c r="C146" s="7" t="str">
        <f>'01 Product Master'!J146</f>
        <v/>
      </c>
      <c r="D146" s="7" t="str">
        <f>'01 Product Master'!K146</f>
        <v/>
      </c>
      <c r="E146" s="7" t="str">
        <f>'01 Product Master'!L146</f>
        <v/>
      </c>
      <c r="F146" s="7" t="str">
        <f>'01 Product Master'!M146</f>
        <v/>
      </c>
      <c r="G146" s="7" t="str">
        <f>'01 Product Master'!N146</f>
        <v/>
      </c>
      <c r="H146" s="7">
        <f>'01 Product Master'!O146</f>
        <v>0</v>
      </c>
      <c r="I146" s="7" t="str">
        <f>'01 Product Master'!P146</f>
        <v/>
      </c>
      <c r="J146" s="2" t="str">
        <f>'01 Product Master'!Q146</f>
        <v/>
      </c>
      <c r="K146" s="1"/>
    </row>
    <row r="147" spans="1:11" ht="16" x14ac:dyDescent="0.2">
      <c r="A147" s="1" t="str">
        <f>'01 Product Master'!A147</f>
        <v>SN-0146</v>
      </c>
      <c r="B147" s="1" t="str">
        <f>'01 Product Master'!C147</f>
        <v>Wedang Bajigur</v>
      </c>
      <c r="C147" s="7" t="str">
        <f>'01 Product Master'!J147</f>
        <v/>
      </c>
      <c r="D147" s="7" t="str">
        <f>'01 Product Master'!K147</f>
        <v/>
      </c>
      <c r="E147" s="7" t="str">
        <f>'01 Product Master'!L147</f>
        <v/>
      </c>
      <c r="F147" s="7" t="str">
        <f>'01 Product Master'!M147</f>
        <v/>
      </c>
      <c r="G147" s="7" t="str">
        <f>'01 Product Master'!N147</f>
        <v/>
      </c>
      <c r="H147" s="7">
        <f>'01 Product Master'!O147</f>
        <v>0</v>
      </c>
      <c r="I147" s="7" t="str">
        <f>'01 Product Master'!P147</f>
        <v/>
      </c>
      <c r="J147" s="2" t="str">
        <f>'01 Product Master'!Q147</f>
        <v/>
      </c>
      <c r="K147" s="1"/>
    </row>
    <row r="148" spans="1:11" ht="16" x14ac:dyDescent="0.2">
      <c r="A148" s="1" t="str">
        <f>'01 Product Master'!A148</f>
        <v>SN-0147</v>
      </c>
      <c r="B148" s="1" t="str">
        <f>'01 Product Master'!C148</f>
        <v>Kapal Api Sachet</v>
      </c>
      <c r="C148" s="7" t="str">
        <f>'01 Product Master'!J148</f>
        <v/>
      </c>
      <c r="D148" s="7" t="str">
        <f>'01 Product Master'!K148</f>
        <v/>
      </c>
      <c r="E148" s="7" t="str">
        <f>'01 Product Master'!L148</f>
        <v/>
      </c>
      <c r="F148" s="7" t="str">
        <f>'01 Product Master'!M148</f>
        <v/>
      </c>
      <c r="G148" s="7" t="str">
        <f>'01 Product Master'!N148</f>
        <v/>
      </c>
      <c r="H148" s="7">
        <f>'01 Product Master'!O148</f>
        <v>0</v>
      </c>
      <c r="I148" s="7" t="str">
        <f>'01 Product Master'!P148</f>
        <v/>
      </c>
      <c r="J148" s="2" t="str">
        <f>'01 Product Master'!Q148</f>
        <v/>
      </c>
      <c r="K148" s="1"/>
    </row>
    <row r="149" spans="1:11" ht="16" x14ac:dyDescent="0.2">
      <c r="A149" s="1" t="str">
        <f>'01 Product Master'!A149</f>
        <v>SN-0148</v>
      </c>
      <c r="B149" s="1" t="str">
        <f>'01 Product Master'!C149</f>
        <v>Extra Joss</v>
      </c>
      <c r="C149" s="7" t="str">
        <f>'01 Product Master'!J149</f>
        <v/>
      </c>
      <c r="D149" s="7" t="str">
        <f>'01 Product Master'!K149</f>
        <v/>
      </c>
      <c r="E149" s="7" t="str">
        <f>'01 Product Master'!L149</f>
        <v/>
      </c>
      <c r="F149" s="7" t="str">
        <f>'01 Product Master'!M149</f>
        <v/>
      </c>
      <c r="G149" s="7" t="str">
        <f>'01 Product Master'!N149</f>
        <v/>
      </c>
      <c r="H149" s="7">
        <f>'01 Product Master'!O149</f>
        <v>0</v>
      </c>
      <c r="I149" s="7" t="str">
        <f>'01 Product Master'!P149</f>
        <v/>
      </c>
      <c r="J149" s="2" t="str">
        <f>'01 Product Master'!Q149</f>
        <v/>
      </c>
      <c r="K149" s="1"/>
    </row>
    <row r="150" spans="1:11" ht="16" x14ac:dyDescent="0.2">
      <c r="A150" s="1" t="str">
        <f>'01 Product Master'!A150</f>
        <v>SN-0149</v>
      </c>
      <c r="B150" s="1" t="str">
        <f>'01 Product Master'!C150</f>
        <v>Sari Wangi The</v>
      </c>
      <c r="C150" s="7" t="str">
        <f>'01 Product Master'!J150</f>
        <v/>
      </c>
      <c r="D150" s="7" t="str">
        <f>'01 Product Master'!K150</f>
        <v/>
      </c>
      <c r="E150" s="7" t="str">
        <f>'01 Product Master'!L150</f>
        <v/>
      </c>
      <c r="F150" s="7" t="str">
        <f>'01 Product Master'!M150</f>
        <v/>
      </c>
      <c r="G150" s="7" t="str">
        <f>'01 Product Master'!N150</f>
        <v/>
      </c>
      <c r="H150" s="7">
        <f>'01 Product Master'!O150</f>
        <v>0</v>
      </c>
      <c r="I150" s="7" t="str">
        <f>'01 Product Master'!P150</f>
        <v/>
      </c>
      <c r="J150" s="2" t="str">
        <f>'01 Product Master'!Q150</f>
        <v/>
      </c>
      <c r="K150" s="1"/>
    </row>
    <row r="151" spans="1:11" ht="16" x14ac:dyDescent="0.2">
      <c r="A151" s="1" t="str">
        <f>'01 Product Master'!A151</f>
        <v>SN-0150</v>
      </c>
      <c r="B151" s="1" t="str">
        <f>'01 Product Master'!C151</f>
        <v>Tong Jie</v>
      </c>
      <c r="C151" s="7" t="str">
        <f>'01 Product Master'!J151</f>
        <v/>
      </c>
      <c r="D151" s="7" t="str">
        <f>'01 Product Master'!K151</f>
        <v/>
      </c>
      <c r="E151" s="7" t="str">
        <f>'01 Product Master'!L151</f>
        <v/>
      </c>
      <c r="F151" s="7" t="str">
        <f>'01 Product Master'!M151</f>
        <v/>
      </c>
      <c r="G151" s="7" t="str">
        <f>'01 Product Master'!N151</f>
        <v/>
      </c>
      <c r="H151" s="7">
        <f>'01 Product Master'!O151</f>
        <v>0</v>
      </c>
      <c r="I151" s="7" t="str">
        <f>'01 Product Master'!P151</f>
        <v/>
      </c>
      <c r="J151" s="2" t="str">
        <f>'01 Product Master'!Q151</f>
        <v/>
      </c>
      <c r="K151" s="1"/>
    </row>
    <row r="152" spans="1:11" ht="16" x14ac:dyDescent="0.2">
      <c r="A152" s="1" t="str">
        <f>'01 Product Master'!A152</f>
        <v>SN-0151</v>
      </c>
      <c r="B152" s="1" t="str">
        <f>'01 Product Master'!C152</f>
        <v>Good Day Carrebian nuts</v>
      </c>
      <c r="C152" s="7">
        <f>'01 Product Master'!J152</f>
        <v>940</v>
      </c>
      <c r="D152" s="7">
        <f>'01 Product Master'!K152</f>
        <v>940</v>
      </c>
      <c r="E152" s="7">
        <f>'01 Product Master'!L152</f>
        <v>890</v>
      </c>
      <c r="F152" s="7">
        <f>'01 Product Master'!M152</f>
        <v>860</v>
      </c>
      <c r="G152" s="7">
        <f>'01 Product Master'!N152</f>
        <v>830</v>
      </c>
      <c r="H152" s="7">
        <f>'01 Product Master'!O152</f>
        <v>0</v>
      </c>
      <c r="I152" s="7" t="str">
        <f>'01 Product Master'!P152</f>
        <v/>
      </c>
      <c r="J152" s="2" t="str">
        <f>'01 Product Master'!Q152</f>
        <v/>
      </c>
      <c r="K152" s="1"/>
    </row>
    <row r="153" spans="1:11" ht="16" x14ac:dyDescent="0.2">
      <c r="A153" s="1" t="str">
        <f>'01 Product Master'!A153</f>
        <v>SN-0152</v>
      </c>
      <c r="B153" s="1" t="str">
        <f>'01 Product Master'!C153</f>
        <v>Bear Brand Milk</v>
      </c>
      <c r="C153" s="7" t="str">
        <f>'01 Product Master'!J153</f>
        <v/>
      </c>
      <c r="D153" s="7" t="str">
        <f>'01 Product Master'!K153</f>
        <v/>
      </c>
      <c r="E153" s="7" t="str">
        <f>'01 Product Master'!L153</f>
        <v/>
      </c>
      <c r="F153" s="7" t="str">
        <f>'01 Product Master'!M153</f>
        <v/>
      </c>
      <c r="G153" s="7" t="str">
        <f>'01 Product Master'!N153</f>
        <v/>
      </c>
      <c r="H153" s="7">
        <f>'01 Product Master'!O153</f>
        <v>0</v>
      </c>
      <c r="I153" s="7" t="str">
        <f>'01 Product Master'!P153</f>
        <v/>
      </c>
      <c r="J153" s="2" t="str">
        <f>'01 Product Master'!Q153</f>
        <v/>
      </c>
      <c r="K153" s="1"/>
    </row>
    <row r="154" spans="1:11" ht="16" x14ac:dyDescent="0.2">
      <c r="A154" s="1" t="str">
        <f>'01 Product Master'!A154</f>
        <v>SN-0153</v>
      </c>
      <c r="B154" s="1" t="str">
        <f>'01 Product Master'!C154</f>
        <v>Teh Pucuk</v>
      </c>
      <c r="C154" s="7" t="str">
        <f>'01 Product Master'!J154</f>
        <v/>
      </c>
      <c r="D154" s="7" t="str">
        <f>'01 Product Master'!K154</f>
        <v/>
      </c>
      <c r="E154" s="7" t="str">
        <f>'01 Product Master'!L154</f>
        <v/>
      </c>
      <c r="F154" s="7" t="str">
        <f>'01 Product Master'!M154</f>
        <v/>
      </c>
      <c r="G154" s="7" t="str">
        <f>'01 Product Master'!N154</f>
        <v/>
      </c>
      <c r="H154" s="7">
        <f>'01 Product Master'!O154</f>
        <v>0</v>
      </c>
      <c r="I154" s="7" t="str">
        <f>'01 Product Master'!P154</f>
        <v/>
      </c>
      <c r="J154" s="2" t="str">
        <f>'01 Product Master'!Q154</f>
        <v/>
      </c>
      <c r="K154" s="1"/>
    </row>
    <row r="155" spans="1:11" ht="16" x14ac:dyDescent="0.2">
      <c r="A155" s="1" t="str">
        <f>'01 Product Master'!A155</f>
        <v>SN-0154</v>
      </c>
      <c r="B155" s="1" t="str">
        <f>'01 Product Master'!C155</f>
        <v>Teh Kotak</v>
      </c>
      <c r="C155" s="7" t="str">
        <f>'01 Product Master'!J155</f>
        <v/>
      </c>
      <c r="D155" s="7" t="str">
        <f>'01 Product Master'!K155</f>
        <v/>
      </c>
      <c r="E155" s="7" t="str">
        <f>'01 Product Master'!L155</f>
        <v/>
      </c>
      <c r="F155" s="7" t="str">
        <f>'01 Product Master'!M155</f>
        <v/>
      </c>
      <c r="G155" s="7" t="str">
        <f>'01 Product Master'!N155</f>
        <v/>
      </c>
      <c r="H155" s="7">
        <f>'01 Product Master'!O155</f>
        <v>0</v>
      </c>
      <c r="I155" s="7" t="str">
        <f>'01 Product Master'!P155</f>
        <v/>
      </c>
      <c r="J155" s="2" t="str">
        <f>'01 Product Master'!Q155</f>
        <v/>
      </c>
      <c r="K155" s="1"/>
    </row>
    <row r="156" spans="1:11" ht="16" x14ac:dyDescent="0.2">
      <c r="A156" s="1" t="str">
        <f>'01 Product Master'!A156</f>
        <v>SN-0155</v>
      </c>
      <c r="B156" s="1" t="str">
        <f>'01 Product Master'!C156</f>
        <v>Teh Botol Sosro</v>
      </c>
      <c r="C156" s="7" t="str">
        <f>'01 Product Master'!J156</f>
        <v/>
      </c>
      <c r="D156" s="7" t="str">
        <f>'01 Product Master'!K156</f>
        <v/>
      </c>
      <c r="E156" s="7" t="str">
        <f>'01 Product Master'!L156</f>
        <v/>
      </c>
      <c r="F156" s="7" t="str">
        <f>'01 Product Master'!M156</f>
        <v/>
      </c>
      <c r="G156" s="7" t="str">
        <f>'01 Product Master'!N156</f>
        <v/>
      </c>
      <c r="H156" s="7">
        <f>'01 Product Master'!O156</f>
        <v>0</v>
      </c>
      <c r="I156" s="7" t="str">
        <f>'01 Product Master'!P156</f>
        <v/>
      </c>
      <c r="J156" s="2" t="str">
        <f>'01 Product Master'!Q156</f>
        <v/>
      </c>
      <c r="K156" s="1"/>
    </row>
    <row r="157" spans="1:11" ht="16" x14ac:dyDescent="0.2">
      <c r="A157" s="1" t="str">
        <f>'01 Product Master'!A157</f>
        <v>SN-0156</v>
      </c>
      <c r="B157" s="1" t="str">
        <f>'01 Product Master'!C157</f>
        <v>Marjan Cocopandan</v>
      </c>
      <c r="C157" s="7" t="str">
        <f>'01 Product Master'!J157</f>
        <v/>
      </c>
      <c r="D157" s="7" t="str">
        <f>'01 Product Master'!K157</f>
        <v/>
      </c>
      <c r="E157" s="7" t="str">
        <f>'01 Product Master'!L157</f>
        <v/>
      </c>
      <c r="F157" s="7" t="str">
        <f>'01 Product Master'!M157</f>
        <v/>
      </c>
      <c r="G157" s="7" t="str">
        <f>'01 Product Master'!N157</f>
        <v/>
      </c>
      <c r="H157" s="7">
        <f>'01 Product Master'!O157</f>
        <v>0</v>
      </c>
      <c r="I157" s="7" t="str">
        <f>'01 Product Master'!P157</f>
        <v/>
      </c>
      <c r="J157" s="2" t="str">
        <f>'01 Product Master'!Q157</f>
        <v/>
      </c>
      <c r="K157" s="1"/>
    </row>
    <row r="158" spans="1:11" ht="16" x14ac:dyDescent="0.2">
      <c r="A158" s="1" t="str">
        <f>'01 Product Master'!A158</f>
        <v>SN-0157</v>
      </c>
      <c r="B158" s="1" t="str">
        <f>'01 Product Master'!C158</f>
        <v>Marjan Melon</v>
      </c>
      <c r="C158" s="7" t="str">
        <f>'01 Product Master'!J158</f>
        <v/>
      </c>
      <c r="D158" s="7" t="str">
        <f>'01 Product Master'!K158</f>
        <v/>
      </c>
      <c r="E158" s="7" t="str">
        <f>'01 Product Master'!L158</f>
        <v/>
      </c>
      <c r="F158" s="7" t="str">
        <f>'01 Product Master'!M158</f>
        <v/>
      </c>
      <c r="G158" s="7" t="str">
        <f>'01 Product Master'!N158</f>
        <v/>
      </c>
      <c r="H158" s="7">
        <f>'01 Product Master'!O158</f>
        <v>0</v>
      </c>
      <c r="I158" s="7" t="str">
        <f>'01 Product Master'!P158</f>
        <v/>
      </c>
      <c r="J158" s="2" t="str">
        <f>'01 Product Master'!Q158</f>
        <v/>
      </c>
      <c r="K158" s="1"/>
    </row>
    <row r="159" spans="1:11" ht="16" x14ac:dyDescent="0.2">
      <c r="A159" s="1" t="str">
        <f>'01 Product Master'!A159</f>
        <v>SN-0158</v>
      </c>
      <c r="B159" s="1" t="str">
        <f>'01 Product Master'!C159</f>
        <v>Luwak White Coffee</v>
      </c>
      <c r="C159" s="7" t="str">
        <f>'01 Product Master'!J159</f>
        <v/>
      </c>
      <c r="D159" s="7" t="str">
        <f>'01 Product Master'!K159</f>
        <v/>
      </c>
      <c r="E159" s="7" t="str">
        <f>'01 Product Master'!L159</f>
        <v/>
      </c>
      <c r="F159" s="7" t="str">
        <f>'01 Product Master'!M159</f>
        <v/>
      </c>
      <c r="G159" s="7" t="str">
        <f>'01 Product Master'!N159</f>
        <v/>
      </c>
      <c r="H159" s="7">
        <f>'01 Product Master'!O159</f>
        <v>0</v>
      </c>
      <c r="I159" s="7" t="str">
        <f>'01 Product Master'!P159</f>
        <v/>
      </c>
      <c r="J159" s="2" t="str">
        <f>'01 Product Master'!Q159</f>
        <v/>
      </c>
      <c r="K159" s="1"/>
    </row>
    <row r="160" spans="1:11" ht="16" x14ac:dyDescent="0.2">
      <c r="A160" s="1" t="str">
        <f>'01 Product Master'!A160</f>
        <v>SN-0159</v>
      </c>
      <c r="B160" s="1" t="str">
        <f>'01 Product Master'!C160</f>
        <v>Good Day Original</v>
      </c>
      <c r="C160" s="7">
        <f>'01 Product Master'!J160</f>
        <v>940</v>
      </c>
      <c r="D160" s="7">
        <f>'01 Product Master'!K160</f>
        <v>940</v>
      </c>
      <c r="E160" s="7">
        <f>'01 Product Master'!L160</f>
        <v>890</v>
      </c>
      <c r="F160" s="7">
        <f>'01 Product Master'!M160</f>
        <v>860</v>
      </c>
      <c r="G160" s="7">
        <f>'01 Product Master'!N160</f>
        <v>830</v>
      </c>
      <c r="H160" s="7">
        <f>'01 Product Master'!O160</f>
        <v>0</v>
      </c>
      <c r="I160" s="7" t="str">
        <f>'01 Product Master'!P160</f>
        <v/>
      </c>
      <c r="J160" s="2" t="str">
        <f>'01 Product Master'!Q160</f>
        <v/>
      </c>
      <c r="K160" s="1"/>
    </row>
    <row r="161" spans="1:11" ht="16" x14ac:dyDescent="0.2">
      <c r="A161" s="1" t="str">
        <f>'01 Product Master'!A161</f>
        <v>SN-0160</v>
      </c>
      <c r="B161" s="1" t="str">
        <f>'01 Product Master'!C161</f>
        <v>Good Day Vanilla</v>
      </c>
      <c r="C161" s="7">
        <f>'01 Product Master'!J161</f>
        <v>875</v>
      </c>
      <c r="D161" s="7">
        <f>'01 Product Master'!K161</f>
        <v>880</v>
      </c>
      <c r="E161" s="7">
        <f>'01 Product Master'!L161</f>
        <v>840</v>
      </c>
      <c r="F161" s="7">
        <f>'01 Product Master'!M161</f>
        <v>810</v>
      </c>
      <c r="G161" s="7">
        <f>'01 Product Master'!N161</f>
        <v>770</v>
      </c>
      <c r="H161" s="7">
        <f>'01 Product Master'!O161</f>
        <v>0</v>
      </c>
      <c r="I161" s="7" t="str">
        <f>'01 Product Master'!P161</f>
        <v/>
      </c>
      <c r="J161" s="2" t="str">
        <f>'01 Product Master'!Q161</f>
        <v/>
      </c>
      <c r="K161" s="1"/>
    </row>
    <row r="162" spans="1:11" ht="16" x14ac:dyDescent="0.2">
      <c r="A162" s="1" t="str">
        <f>'01 Product Master'!A162</f>
        <v>SN-0161</v>
      </c>
      <c r="B162" s="1" t="str">
        <f>'01 Product Master'!C162</f>
        <v>Good Day Chocochino</v>
      </c>
      <c r="C162" s="7">
        <f>'01 Product Master'!J162</f>
        <v>940</v>
      </c>
      <c r="D162" s="7">
        <f>'01 Product Master'!K162</f>
        <v>940</v>
      </c>
      <c r="E162" s="7">
        <f>'01 Product Master'!L162</f>
        <v>890</v>
      </c>
      <c r="F162" s="7">
        <f>'01 Product Master'!M162</f>
        <v>860</v>
      </c>
      <c r="G162" s="7">
        <f>'01 Product Master'!N162</f>
        <v>830</v>
      </c>
      <c r="H162" s="7">
        <f>'01 Product Master'!O162</f>
        <v>0</v>
      </c>
      <c r="I162" s="7" t="str">
        <f>'01 Product Master'!P162</f>
        <v/>
      </c>
      <c r="J162" s="2" t="str">
        <f>'01 Product Master'!Q162</f>
        <v/>
      </c>
      <c r="K162" s="1"/>
    </row>
    <row r="163" spans="1:11" ht="16" x14ac:dyDescent="0.2">
      <c r="A163" s="1" t="str">
        <f>'01 Product Master'!A163</f>
        <v>SN-0162</v>
      </c>
      <c r="B163" s="1" t="str">
        <f>'01 Product Master'!C163</f>
        <v>Good Day Mochachino</v>
      </c>
      <c r="C163" s="7">
        <f>'01 Product Master'!J163</f>
        <v>940</v>
      </c>
      <c r="D163" s="7">
        <f>'01 Product Master'!K163</f>
        <v>940</v>
      </c>
      <c r="E163" s="7">
        <f>'01 Product Master'!L163</f>
        <v>890</v>
      </c>
      <c r="F163" s="7">
        <f>'01 Product Master'!M163</f>
        <v>860</v>
      </c>
      <c r="G163" s="7">
        <f>'01 Product Master'!N163</f>
        <v>830</v>
      </c>
      <c r="H163" s="7">
        <f>'01 Product Master'!O163</f>
        <v>0</v>
      </c>
      <c r="I163" s="7" t="str">
        <f>'01 Product Master'!P163</f>
        <v/>
      </c>
      <c r="J163" s="2" t="str">
        <f>'01 Product Master'!Q163</f>
        <v/>
      </c>
      <c r="K163" s="1"/>
    </row>
    <row r="164" spans="1:11" ht="16" x14ac:dyDescent="0.2">
      <c r="A164" s="1" t="str">
        <f>'01 Product Master'!A164</f>
        <v>SN-0163</v>
      </c>
      <c r="B164" s="1" t="str">
        <f>'01 Product Master'!C164</f>
        <v>Good Day Freez</v>
      </c>
      <c r="C164" s="7">
        <f>'01 Product Master'!J164</f>
        <v>940</v>
      </c>
      <c r="D164" s="7">
        <f>'01 Product Master'!K164</f>
        <v>940</v>
      </c>
      <c r="E164" s="7">
        <f>'01 Product Master'!L164</f>
        <v>890</v>
      </c>
      <c r="F164" s="7">
        <f>'01 Product Master'!M164</f>
        <v>860</v>
      </c>
      <c r="G164" s="7">
        <f>'01 Product Master'!N164</f>
        <v>830</v>
      </c>
      <c r="H164" s="7">
        <f>'01 Product Master'!O164</f>
        <v>0</v>
      </c>
      <c r="I164" s="7" t="str">
        <f>'01 Product Master'!P164</f>
        <v/>
      </c>
      <c r="J164" s="2" t="str">
        <f>'01 Product Master'!Q164</f>
        <v/>
      </c>
      <c r="K164" s="1"/>
    </row>
    <row r="165" spans="1:11" ht="16" x14ac:dyDescent="0.2">
      <c r="A165" s="1" t="str">
        <f>'01 Product Master'!A165</f>
        <v>SN-0164</v>
      </c>
      <c r="B165" s="1" t="str">
        <f>'01 Product Master'!C165</f>
        <v>Good Day Cool in</v>
      </c>
      <c r="C165" s="7">
        <f>'01 Product Master'!J165</f>
        <v>940</v>
      </c>
      <c r="D165" s="7">
        <f>'01 Product Master'!K165</f>
        <v>940</v>
      </c>
      <c r="E165" s="7">
        <f>'01 Product Master'!L165</f>
        <v>890</v>
      </c>
      <c r="F165" s="7">
        <f>'01 Product Master'!M165</f>
        <v>860</v>
      </c>
      <c r="G165" s="7">
        <f>'01 Product Master'!N165</f>
        <v>830</v>
      </c>
      <c r="H165" s="7">
        <f>'01 Product Master'!O165</f>
        <v>0</v>
      </c>
      <c r="I165" s="7" t="str">
        <f>'01 Product Master'!P165</f>
        <v/>
      </c>
      <c r="J165" s="2" t="str">
        <f>'01 Product Master'!Q165</f>
        <v/>
      </c>
      <c r="K165" s="1"/>
    </row>
    <row r="166" spans="1:11" ht="16" x14ac:dyDescent="0.2">
      <c r="A166" s="1" t="str">
        <f>'01 Product Master'!A166</f>
        <v>SN-0165</v>
      </c>
      <c r="B166" s="1" t="str">
        <f>'01 Product Master'!C166</f>
        <v>Basreng Ori Daun Jeruk</v>
      </c>
      <c r="C166" s="7" t="str">
        <f>'01 Product Master'!J166</f>
        <v/>
      </c>
      <c r="D166" s="7" t="str">
        <f>'01 Product Master'!K166</f>
        <v/>
      </c>
      <c r="E166" s="7" t="str">
        <f>'01 Product Master'!L166</f>
        <v/>
      </c>
      <c r="F166" s="7" t="str">
        <f>'01 Product Master'!M166</f>
        <v/>
      </c>
      <c r="G166" s="7" t="str">
        <f>'01 Product Master'!N166</f>
        <v/>
      </c>
      <c r="H166" s="7">
        <f>'01 Product Master'!O166</f>
        <v>0</v>
      </c>
      <c r="I166" s="7" t="str">
        <f>'01 Product Master'!P166</f>
        <v/>
      </c>
      <c r="J166" s="2" t="str">
        <f>'01 Product Master'!Q166</f>
        <v/>
      </c>
      <c r="K166" s="1"/>
    </row>
    <row r="167" spans="1:11" ht="16" x14ac:dyDescent="0.2">
      <c r="A167" s="1" t="str">
        <f>'01 Product Master'!A167</f>
        <v>SN-0166</v>
      </c>
      <c r="B167" s="1" t="str">
        <f>'01 Product Master'!C167</f>
        <v>Basreng Pedas Daun Jeruk</v>
      </c>
      <c r="C167" s="7" t="str">
        <f>'01 Product Master'!J167</f>
        <v/>
      </c>
      <c r="D167" s="7" t="str">
        <f>'01 Product Master'!K167</f>
        <v/>
      </c>
      <c r="E167" s="7" t="str">
        <f>'01 Product Master'!L167</f>
        <v/>
      </c>
      <c r="F167" s="7" t="str">
        <f>'01 Product Master'!M167</f>
        <v/>
      </c>
      <c r="G167" s="7" t="str">
        <f>'01 Product Master'!N167</f>
        <v/>
      </c>
      <c r="H167" s="7">
        <f>'01 Product Master'!O167</f>
        <v>0</v>
      </c>
      <c r="I167" s="7" t="str">
        <f>'01 Product Master'!P167</f>
        <v/>
      </c>
      <c r="J167" s="2" t="str">
        <f>'01 Product Master'!Q167</f>
        <v/>
      </c>
      <c r="K167" s="1"/>
    </row>
    <row r="168" spans="1:11" ht="16" x14ac:dyDescent="0.2">
      <c r="A168" s="1" t="str">
        <f>'01 Product Master'!A168</f>
        <v>SN-0167</v>
      </c>
      <c r="B168" s="1" t="str">
        <f>'01 Product Master'!C168</f>
        <v>Basreng Ekstra Pedas Daun Jeruk</v>
      </c>
      <c r="C168" s="7" t="str">
        <f>'01 Product Master'!J168</f>
        <v/>
      </c>
      <c r="D168" s="7" t="str">
        <f>'01 Product Master'!K168</f>
        <v/>
      </c>
      <c r="E168" s="7" t="str">
        <f>'01 Product Master'!L168</f>
        <v/>
      </c>
      <c r="F168" s="7" t="str">
        <f>'01 Product Master'!M168</f>
        <v/>
      </c>
      <c r="G168" s="7" t="str">
        <f>'01 Product Master'!N168</f>
        <v/>
      </c>
      <c r="H168" s="7">
        <f>'01 Product Master'!O168</f>
        <v>0</v>
      </c>
      <c r="I168" s="7" t="str">
        <f>'01 Product Master'!P168</f>
        <v/>
      </c>
      <c r="J168" s="2" t="str">
        <f>'01 Product Master'!Q168</f>
        <v/>
      </c>
      <c r="K168" s="1"/>
    </row>
    <row r="169" spans="1:11" ht="16" x14ac:dyDescent="0.2">
      <c r="A169" s="1" t="str">
        <f>'01 Product Master'!A169</f>
        <v>SN-0168</v>
      </c>
      <c r="B169" s="1" t="str">
        <f>'01 Product Master'!C169</f>
        <v>Malkist Abon</v>
      </c>
      <c r="C169" s="7" t="str">
        <f>'01 Product Master'!J169</f>
        <v/>
      </c>
      <c r="D169" s="7" t="str">
        <f>'01 Product Master'!K169</f>
        <v/>
      </c>
      <c r="E169" s="7" t="str">
        <f>'01 Product Master'!L169</f>
        <v/>
      </c>
      <c r="F169" s="7" t="str">
        <f>'01 Product Master'!M169</f>
        <v/>
      </c>
      <c r="G169" s="7" t="str">
        <f>'01 Product Master'!N169</f>
        <v/>
      </c>
      <c r="H169" s="7">
        <f>'01 Product Master'!O169</f>
        <v>0</v>
      </c>
      <c r="I169" s="7" t="str">
        <f>'01 Product Master'!P169</f>
        <v/>
      </c>
      <c r="J169" s="2" t="str">
        <f>'01 Product Master'!Q169</f>
        <v/>
      </c>
      <c r="K169" s="1"/>
    </row>
    <row r="170" spans="1:11" ht="16" x14ac:dyDescent="0.2">
      <c r="A170" s="1" t="str">
        <f>'01 Product Master'!A170</f>
        <v>SN-0169</v>
      </c>
      <c r="B170" s="1" t="str">
        <f>'01 Product Master'!C170</f>
        <v>Malkist Roma</v>
      </c>
      <c r="C170" s="7" t="str">
        <f>'01 Product Master'!J170</f>
        <v/>
      </c>
      <c r="D170" s="7" t="str">
        <f>'01 Product Master'!K170</f>
        <v/>
      </c>
      <c r="E170" s="7" t="str">
        <f>'01 Product Master'!L170</f>
        <v/>
      </c>
      <c r="F170" s="7" t="str">
        <f>'01 Product Master'!M170</f>
        <v/>
      </c>
      <c r="G170" s="7" t="str">
        <f>'01 Product Master'!N170</f>
        <v/>
      </c>
      <c r="H170" s="7">
        <f>'01 Product Master'!O170</f>
        <v>0</v>
      </c>
      <c r="I170" s="7" t="str">
        <f>'01 Product Master'!P170</f>
        <v/>
      </c>
      <c r="J170" s="2" t="str">
        <f>'01 Product Master'!Q170</f>
        <v/>
      </c>
      <c r="K170" s="1"/>
    </row>
    <row r="171" spans="1:11" ht="16" x14ac:dyDescent="0.2">
      <c r="A171" s="1" t="str">
        <f>'01 Product Master'!A171</f>
        <v>SN-0170</v>
      </c>
      <c r="B171" s="1" t="str">
        <f>'01 Product Master'!C171</f>
        <v>Beng-beng</v>
      </c>
      <c r="C171" s="7" t="str">
        <f>'01 Product Master'!J171</f>
        <v/>
      </c>
      <c r="D171" s="7" t="str">
        <f>'01 Product Master'!K171</f>
        <v/>
      </c>
      <c r="E171" s="7" t="str">
        <f>'01 Product Master'!L171</f>
        <v/>
      </c>
      <c r="F171" s="7" t="str">
        <f>'01 Product Master'!M171</f>
        <v/>
      </c>
      <c r="G171" s="7" t="str">
        <f>'01 Product Master'!N171</f>
        <v/>
      </c>
      <c r="H171" s="7">
        <f>'01 Product Master'!O171</f>
        <v>0</v>
      </c>
      <c r="I171" s="7" t="str">
        <f>'01 Product Master'!P171</f>
        <v/>
      </c>
      <c r="J171" s="2" t="str">
        <f>'01 Product Master'!Q171</f>
        <v/>
      </c>
      <c r="K171" s="1"/>
    </row>
    <row r="172" spans="1:11" ht="16" x14ac:dyDescent="0.2">
      <c r="A172" s="1" t="str">
        <f>'01 Product Master'!A172</f>
        <v>SN-0171</v>
      </c>
      <c r="B172" s="1" t="str">
        <f>'01 Product Master'!C172</f>
        <v>TicTac Sapi</v>
      </c>
      <c r="C172" s="7" t="str">
        <f>'01 Product Master'!J172</f>
        <v/>
      </c>
      <c r="D172" s="7" t="str">
        <f>'01 Product Master'!K172</f>
        <v/>
      </c>
      <c r="E172" s="7" t="str">
        <f>'01 Product Master'!L172</f>
        <v/>
      </c>
      <c r="F172" s="7" t="str">
        <f>'01 Product Master'!M172</f>
        <v/>
      </c>
      <c r="G172" s="7" t="str">
        <f>'01 Product Master'!N172</f>
        <v/>
      </c>
      <c r="H172" s="7">
        <f>'01 Product Master'!O172</f>
        <v>0</v>
      </c>
      <c r="I172" s="7" t="str">
        <f>'01 Product Master'!P172</f>
        <v/>
      </c>
      <c r="J172" s="2" t="str">
        <f>'01 Product Master'!Q172</f>
        <v/>
      </c>
      <c r="K172" s="1"/>
    </row>
    <row r="173" spans="1:11" ht="16" x14ac:dyDescent="0.2">
      <c r="A173" s="1" t="str">
        <f>'01 Product Master'!A173</f>
        <v>SN-0172</v>
      </c>
      <c r="B173" s="1" t="str">
        <f>'01 Product Master'!C173</f>
        <v>TicTac Rumput Laut</v>
      </c>
      <c r="C173" s="7" t="str">
        <f>'01 Product Master'!J173</f>
        <v/>
      </c>
      <c r="D173" s="7" t="str">
        <f>'01 Product Master'!K173</f>
        <v/>
      </c>
      <c r="E173" s="7" t="str">
        <f>'01 Product Master'!L173</f>
        <v/>
      </c>
      <c r="F173" s="7" t="str">
        <f>'01 Product Master'!M173</f>
        <v/>
      </c>
      <c r="G173" s="7" t="str">
        <f>'01 Product Master'!N173</f>
        <v/>
      </c>
      <c r="H173" s="7">
        <f>'01 Product Master'!O173</f>
        <v>0</v>
      </c>
      <c r="I173" s="7" t="str">
        <f>'01 Product Master'!P173</f>
        <v/>
      </c>
      <c r="J173" s="2" t="str">
        <f>'01 Product Master'!Q173</f>
        <v/>
      </c>
      <c r="K173" s="1"/>
    </row>
    <row r="174" spans="1:11" ht="16" x14ac:dyDescent="0.2">
      <c r="A174" s="1" t="str">
        <f>'01 Product Master'!A174</f>
        <v>SN-0173</v>
      </c>
      <c r="B174" s="1" t="str">
        <f>'01 Product Master'!C174</f>
        <v>TicTac Pedas</v>
      </c>
      <c r="C174" s="7" t="str">
        <f>'01 Product Master'!J174</f>
        <v/>
      </c>
      <c r="D174" s="7" t="str">
        <f>'01 Product Master'!K174</f>
        <v/>
      </c>
      <c r="E174" s="7" t="str">
        <f>'01 Product Master'!L174</f>
        <v/>
      </c>
      <c r="F174" s="7" t="str">
        <f>'01 Product Master'!M174</f>
        <v/>
      </c>
      <c r="G174" s="7" t="str">
        <f>'01 Product Master'!N174</f>
        <v/>
      </c>
      <c r="H174" s="7">
        <f>'01 Product Master'!O174</f>
        <v>0</v>
      </c>
      <c r="I174" s="7" t="str">
        <f>'01 Product Master'!P174</f>
        <v/>
      </c>
      <c r="J174" s="2" t="str">
        <f>'01 Product Master'!Q174</f>
        <v/>
      </c>
      <c r="K174" s="1"/>
    </row>
    <row r="175" spans="1:11" ht="16" x14ac:dyDescent="0.2">
      <c r="A175" s="1" t="str">
        <f>'01 Product Master'!A175</f>
        <v>SN-0174</v>
      </c>
      <c r="B175" s="1" t="str">
        <f>'01 Product Master'!C175</f>
        <v>TicTac Original</v>
      </c>
      <c r="C175" s="7" t="str">
        <f>'01 Product Master'!J175</f>
        <v/>
      </c>
      <c r="D175" s="7" t="str">
        <f>'01 Product Master'!K175</f>
        <v/>
      </c>
      <c r="E175" s="7" t="str">
        <f>'01 Product Master'!L175</f>
        <v/>
      </c>
      <c r="F175" s="7" t="str">
        <f>'01 Product Master'!M175</f>
        <v/>
      </c>
      <c r="G175" s="7" t="str">
        <f>'01 Product Master'!N175</f>
        <v/>
      </c>
      <c r="H175" s="7">
        <f>'01 Product Master'!O175</f>
        <v>0</v>
      </c>
      <c r="I175" s="7" t="str">
        <f>'01 Product Master'!P175</f>
        <v/>
      </c>
      <c r="J175" s="2" t="str">
        <f>'01 Product Master'!Q175</f>
        <v/>
      </c>
      <c r="K175" s="1"/>
    </row>
    <row r="176" spans="1:11" ht="16" x14ac:dyDescent="0.2">
      <c r="A176" s="1" t="str">
        <f>'01 Product Master'!A176</f>
        <v>SN-0175</v>
      </c>
      <c r="B176" s="1" t="str">
        <f>'01 Product Master'!C176</f>
        <v>Garuda Atom Original</v>
      </c>
      <c r="C176" s="7" t="str">
        <f>'01 Product Master'!J176</f>
        <v/>
      </c>
      <c r="D176" s="7" t="str">
        <f>'01 Product Master'!K176</f>
        <v/>
      </c>
      <c r="E176" s="7" t="str">
        <f>'01 Product Master'!L176</f>
        <v/>
      </c>
      <c r="F176" s="7" t="str">
        <f>'01 Product Master'!M176</f>
        <v/>
      </c>
      <c r="G176" s="7" t="str">
        <f>'01 Product Master'!N176</f>
        <v/>
      </c>
      <c r="H176" s="7">
        <f>'01 Product Master'!O176</f>
        <v>0</v>
      </c>
      <c r="I176" s="7" t="str">
        <f>'01 Product Master'!P176</f>
        <v/>
      </c>
      <c r="J176" s="2" t="str">
        <f>'01 Product Master'!Q176</f>
        <v/>
      </c>
      <c r="K176" s="1"/>
    </row>
    <row r="177" spans="1:11" ht="16" x14ac:dyDescent="0.2">
      <c r="A177" s="1" t="str">
        <f>'01 Product Master'!A177</f>
        <v>SN-0176</v>
      </c>
      <c r="B177" s="1" t="str">
        <f>'01 Product Master'!C177</f>
        <v>Garuda Atom Pedas</v>
      </c>
      <c r="C177" s="7" t="str">
        <f>'01 Product Master'!J177</f>
        <v/>
      </c>
      <c r="D177" s="7" t="str">
        <f>'01 Product Master'!K177</f>
        <v/>
      </c>
      <c r="E177" s="7" t="str">
        <f>'01 Product Master'!L177</f>
        <v/>
      </c>
      <c r="F177" s="7" t="str">
        <f>'01 Product Master'!M177</f>
        <v/>
      </c>
      <c r="G177" s="7" t="str">
        <f>'01 Product Master'!N177</f>
        <v/>
      </c>
      <c r="H177" s="7">
        <f>'01 Product Master'!O177</f>
        <v>0</v>
      </c>
      <c r="I177" s="7" t="str">
        <f>'01 Product Master'!P177</f>
        <v/>
      </c>
      <c r="J177" s="2" t="str">
        <f>'01 Product Master'!Q177</f>
        <v/>
      </c>
      <c r="K177" s="1"/>
    </row>
    <row r="178" spans="1:11" ht="16" x14ac:dyDescent="0.2">
      <c r="A178" s="1" t="str">
        <f>'01 Product Master'!A178</f>
        <v>SN-0177</v>
      </c>
      <c r="B178" s="1" t="str">
        <f>'01 Product Master'!C178</f>
        <v>Richeese Nabati</v>
      </c>
      <c r="C178" s="7" t="str">
        <f>'01 Product Master'!J178</f>
        <v/>
      </c>
      <c r="D178" s="7" t="str">
        <f>'01 Product Master'!K178</f>
        <v/>
      </c>
      <c r="E178" s="7" t="str">
        <f>'01 Product Master'!L178</f>
        <v/>
      </c>
      <c r="F178" s="7" t="str">
        <f>'01 Product Master'!M178</f>
        <v/>
      </c>
      <c r="G178" s="7" t="str">
        <f>'01 Product Master'!N178</f>
        <v/>
      </c>
      <c r="H178" s="7">
        <f>'01 Product Master'!O178</f>
        <v>0</v>
      </c>
      <c r="I178" s="7" t="str">
        <f>'01 Product Master'!P178</f>
        <v/>
      </c>
      <c r="J178" s="2" t="str">
        <f>'01 Product Master'!Q178</f>
        <v/>
      </c>
      <c r="K178" s="1"/>
    </row>
    <row r="179" spans="1:11" ht="16" x14ac:dyDescent="0.2">
      <c r="A179" s="1" t="str">
        <f>'01 Product Master'!A179</f>
        <v>SN-0178</v>
      </c>
      <c r="B179" s="1" t="str">
        <f>'01 Product Master'!C179</f>
        <v>Richeese Nabati Cokelat</v>
      </c>
      <c r="C179" s="7" t="str">
        <f>'01 Product Master'!J179</f>
        <v/>
      </c>
      <c r="D179" s="7" t="str">
        <f>'01 Product Master'!K179</f>
        <v/>
      </c>
      <c r="E179" s="7" t="str">
        <f>'01 Product Master'!L179</f>
        <v/>
      </c>
      <c r="F179" s="7" t="str">
        <f>'01 Product Master'!M179</f>
        <v/>
      </c>
      <c r="G179" s="7" t="str">
        <f>'01 Product Master'!N179</f>
        <v/>
      </c>
      <c r="H179" s="7">
        <f>'01 Product Master'!O179</f>
        <v>0</v>
      </c>
      <c r="I179" s="7" t="str">
        <f>'01 Product Master'!P179</f>
        <v/>
      </c>
      <c r="J179" s="2" t="str">
        <f>'01 Product Master'!Q179</f>
        <v/>
      </c>
      <c r="K179" s="1"/>
    </row>
    <row r="180" spans="1:11" ht="16" x14ac:dyDescent="0.2">
      <c r="A180" s="1" t="str">
        <f>'01 Product Master'!A180</f>
        <v>SN-0179</v>
      </c>
      <c r="B180" s="1" t="str">
        <f>'01 Product Master'!C180</f>
        <v>Coki-Coki</v>
      </c>
      <c r="C180" s="7" t="str">
        <f>'01 Product Master'!J180</f>
        <v/>
      </c>
      <c r="D180" s="7" t="str">
        <f>'01 Product Master'!K180</f>
        <v/>
      </c>
      <c r="E180" s="7" t="str">
        <f>'01 Product Master'!L180</f>
        <v/>
      </c>
      <c r="F180" s="7" t="str">
        <f>'01 Product Master'!M180</f>
        <v/>
      </c>
      <c r="G180" s="7" t="str">
        <f>'01 Product Master'!N180</f>
        <v/>
      </c>
      <c r="H180" s="7">
        <f>'01 Product Master'!O180</f>
        <v>0</v>
      </c>
      <c r="I180" s="7" t="str">
        <f>'01 Product Master'!P180</f>
        <v/>
      </c>
      <c r="J180" s="2" t="str">
        <f>'01 Product Master'!Q180</f>
        <v/>
      </c>
      <c r="K180" s="1"/>
    </row>
    <row r="181" spans="1:11" ht="16" x14ac:dyDescent="0.2">
      <c r="A181" s="1" t="str">
        <f>'01 Product Master'!A181</f>
        <v>SN-0180</v>
      </c>
      <c r="B181" s="1">
        <f>'01 Product Master'!C181</f>
        <v>0</v>
      </c>
      <c r="C181" s="7" t="str">
        <f>'01 Product Master'!J181</f>
        <v/>
      </c>
      <c r="D181" s="7" t="str">
        <f>'01 Product Master'!K181</f>
        <v/>
      </c>
      <c r="E181" s="7" t="str">
        <f>'01 Product Master'!L181</f>
        <v/>
      </c>
      <c r="F181" s="7" t="str">
        <f>'01 Product Master'!M181</f>
        <v/>
      </c>
      <c r="G181" s="7" t="str">
        <f>'01 Product Master'!N181</f>
        <v/>
      </c>
      <c r="H181" s="7">
        <f>'01 Product Master'!O181</f>
        <v>0</v>
      </c>
      <c r="I181" s="7" t="str">
        <f>'01 Product Master'!P181</f>
        <v/>
      </c>
      <c r="J181" s="2" t="str">
        <f>'01 Product Master'!Q181</f>
        <v/>
      </c>
      <c r="K181" s="1"/>
    </row>
    <row r="182" spans="1:11" ht="16" x14ac:dyDescent="0.2">
      <c r="A182" s="1" t="str">
        <f>'01 Product Master'!A182</f>
        <v>SN-0181</v>
      </c>
      <c r="B182" s="1">
        <f>'01 Product Master'!C182</f>
        <v>0</v>
      </c>
      <c r="C182" s="7" t="str">
        <f>'01 Product Master'!J182</f>
        <v/>
      </c>
      <c r="D182" s="7" t="str">
        <f>'01 Product Master'!K182</f>
        <v/>
      </c>
      <c r="E182" s="7" t="str">
        <f>'01 Product Master'!L182</f>
        <v/>
      </c>
      <c r="F182" s="7" t="str">
        <f>'01 Product Master'!M182</f>
        <v/>
      </c>
      <c r="G182" s="7" t="str">
        <f>'01 Product Master'!N182</f>
        <v/>
      </c>
      <c r="H182" s="7">
        <f>'01 Product Master'!O182</f>
        <v>0</v>
      </c>
      <c r="I182" s="7" t="str">
        <f>'01 Product Master'!P182</f>
        <v/>
      </c>
      <c r="J182" s="2" t="str">
        <f>'01 Product Master'!Q182</f>
        <v/>
      </c>
      <c r="K182" s="1"/>
    </row>
    <row r="183" spans="1:11" ht="16" x14ac:dyDescent="0.2">
      <c r="A183" s="1" t="str">
        <f>'01 Product Master'!A183</f>
        <v>SN-0182</v>
      </c>
      <c r="B183" s="1">
        <f>'01 Product Master'!C183</f>
        <v>0</v>
      </c>
      <c r="C183" s="7" t="str">
        <f>'01 Product Master'!J183</f>
        <v/>
      </c>
      <c r="D183" s="7" t="str">
        <f>'01 Product Master'!K183</f>
        <v/>
      </c>
      <c r="E183" s="7" t="str">
        <f>'01 Product Master'!L183</f>
        <v/>
      </c>
      <c r="F183" s="7" t="str">
        <f>'01 Product Master'!M183</f>
        <v/>
      </c>
      <c r="G183" s="7" t="str">
        <f>'01 Product Master'!N183</f>
        <v/>
      </c>
      <c r="H183" s="7">
        <f>'01 Product Master'!O183</f>
        <v>0</v>
      </c>
      <c r="I183" s="7" t="str">
        <f>'01 Product Master'!P183</f>
        <v/>
      </c>
      <c r="J183" s="2" t="str">
        <f>'01 Product Master'!Q183</f>
        <v/>
      </c>
      <c r="K183" s="1"/>
    </row>
    <row r="184" spans="1:11" ht="16" x14ac:dyDescent="0.2">
      <c r="A184" s="1" t="str">
        <f>'01 Product Master'!A184</f>
        <v>SN-0183</v>
      </c>
      <c r="B184" s="1">
        <f>'01 Product Master'!C184</f>
        <v>0</v>
      </c>
      <c r="C184" s="7" t="str">
        <f>'01 Product Master'!J184</f>
        <v/>
      </c>
      <c r="D184" s="7" t="str">
        <f>'01 Product Master'!K184</f>
        <v/>
      </c>
      <c r="E184" s="7" t="str">
        <f>'01 Product Master'!L184</f>
        <v/>
      </c>
      <c r="F184" s="7" t="str">
        <f>'01 Product Master'!M184</f>
        <v/>
      </c>
      <c r="G184" s="7" t="str">
        <f>'01 Product Master'!N184</f>
        <v/>
      </c>
      <c r="H184" s="7">
        <f>'01 Product Master'!O184</f>
        <v>0</v>
      </c>
      <c r="I184" s="7" t="str">
        <f>'01 Product Master'!P184</f>
        <v/>
      </c>
      <c r="J184" s="2" t="str">
        <f>'01 Product Master'!Q184</f>
        <v/>
      </c>
      <c r="K184" s="1"/>
    </row>
    <row r="185" spans="1:11" ht="16" x14ac:dyDescent="0.2">
      <c r="A185" s="1" t="str">
        <f>'01 Product Master'!A185</f>
        <v>SN-0184</v>
      </c>
      <c r="B185" s="1">
        <f>'01 Product Master'!C185</f>
        <v>0</v>
      </c>
      <c r="C185" s="7" t="str">
        <f>'01 Product Master'!J185</f>
        <v/>
      </c>
      <c r="D185" s="7" t="str">
        <f>'01 Product Master'!K185</f>
        <v/>
      </c>
      <c r="E185" s="7" t="str">
        <f>'01 Product Master'!L185</f>
        <v/>
      </c>
      <c r="F185" s="7" t="str">
        <f>'01 Product Master'!M185</f>
        <v/>
      </c>
      <c r="G185" s="7" t="str">
        <f>'01 Product Master'!N185</f>
        <v/>
      </c>
      <c r="H185" s="7">
        <f>'01 Product Master'!O185</f>
        <v>0</v>
      </c>
      <c r="I185" s="7" t="str">
        <f>'01 Product Master'!P185</f>
        <v/>
      </c>
      <c r="J185" s="2" t="str">
        <f>'01 Product Master'!Q185</f>
        <v/>
      </c>
      <c r="K185" s="1"/>
    </row>
    <row r="186" spans="1:11" ht="16" x14ac:dyDescent="0.2">
      <c r="A186" s="1" t="str">
        <f>'01 Product Master'!A186</f>
        <v>SN-0185</v>
      </c>
      <c r="B186" s="1">
        <f>'01 Product Master'!C186</f>
        <v>0</v>
      </c>
      <c r="C186" s="7" t="str">
        <f>'01 Product Master'!J186</f>
        <v/>
      </c>
      <c r="D186" s="7" t="str">
        <f>'01 Product Master'!K186</f>
        <v/>
      </c>
      <c r="E186" s="7" t="str">
        <f>'01 Product Master'!L186</f>
        <v/>
      </c>
      <c r="F186" s="7" t="str">
        <f>'01 Product Master'!M186</f>
        <v/>
      </c>
      <c r="G186" s="7" t="str">
        <f>'01 Product Master'!N186</f>
        <v/>
      </c>
      <c r="H186" s="7">
        <f>'01 Product Master'!O186</f>
        <v>0</v>
      </c>
      <c r="I186" s="7" t="str">
        <f>'01 Product Master'!P186</f>
        <v/>
      </c>
      <c r="J186" s="2" t="str">
        <f>'01 Product Master'!Q186</f>
        <v/>
      </c>
      <c r="K186" s="1"/>
    </row>
    <row r="187" spans="1:11" ht="16" x14ac:dyDescent="0.2">
      <c r="A187" s="1" t="str">
        <f>'01 Product Master'!A187</f>
        <v>SN-0186</v>
      </c>
      <c r="B187" s="1">
        <f>'01 Product Master'!C187</f>
        <v>0</v>
      </c>
      <c r="C187" s="7" t="str">
        <f>'01 Product Master'!J187</f>
        <v/>
      </c>
      <c r="D187" s="7" t="str">
        <f>'01 Product Master'!K187</f>
        <v/>
      </c>
      <c r="E187" s="7" t="str">
        <f>'01 Product Master'!L187</f>
        <v/>
      </c>
      <c r="F187" s="7" t="str">
        <f>'01 Product Master'!M187</f>
        <v/>
      </c>
      <c r="G187" s="7" t="str">
        <f>'01 Product Master'!N187</f>
        <v/>
      </c>
      <c r="H187" s="7">
        <f>'01 Product Master'!O187</f>
        <v>0</v>
      </c>
      <c r="I187" s="7" t="str">
        <f>'01 Product Master'!P187</f>
        <v/>
      </c>
      <c r="J187" s="2" t="str">
        <f>'01 Product Master'!Q187</f>
        <v/>
      </c>
      <c r="K187" s="1"/>
    </row>
    <row r="188" spans="1:11" ht="16" x14ac:dyDescent="0.2">
      <c r="A188" s="1" t="str">
        <f>'01 Product Master'!A188</f>
        <v>SN-0187</v>
      </c>
      <c r="B188" s="1">
        <f>'01 Product Master'!C188</f>
        <v>0</v>
      </c>
      <c r="C188" s="7" t="str">
        <f>'01 Product Master'!J188</f>
        <v/>
      </c>
      <c r="D188" s="7" t="str">
        <f>'01 Product Master'!K188</f>
        <v/>
      </c>
      <c r="E188" s="7" t="str">
        <f>'01 Product Master'!L188</f>
        <v/>
      </c>
      <c r="F188" s="7" t="str">
        <f>'01 Product Master'!M188</f>
        <v/>
      </c>
      <c r="G188" s="7" t="str">
        <f>'01 Product Master'!N188</f>
        <v/>
      </c>
      <c r="H188" s="7">
        <f>'01 Product Master'!O188</f>
        <v>0</v>
      </c>
      <c r="I188" s="7" t="str">
        <f>'01 Product Master'!P188</f>
        <v/>
      </c>
      <c r="J188" s="2" t="str">
        <f>'01 Product Master'!Q188</f>
        <v/>
      </c>
      <c r="K188" s="1"/>
    </row>
    <row r="189" spans="1:11" ht="16" x14ac:dyDescent="0.2">
      <c r="A189" s="1" t="str">
        <f>'01 Product Master'!A189</f>
        <v>SN-0188</v>
      </c>
      <c r="B189" s="1">
        <f>'01 Product Master'!C189</f>
        <v>0</v>
      </c>
      <c r="C189" s="7" t="str">
        <f>'01 Product Master'!J189</f>
        <v/>
      </c>
      <c r="D189" s="7" t="str">
        <f>'01 Product Master'!K189</f>
        <v/>
      </c>
      <c r="E189" s="7" t="str">
        <f>'01 Product Master'!L189</f>
        <v/>
      </c>
      <c r="F189" s="7" t="str">
        <f>'01 Product Master'!M189</f>
        <v/>
      </c>
      <c r="G189" s="7" t="str">
        <f>'01 Product Master'!N189</f>
        <v/>
      </c>
      <c r="H189" s="7">
        <f>'01 Product Master'!O189</f>
        <v>0</v>
      </c>
      <c r="I189" s="7" t="str">
        <f>'01 Product Master'!P189</f>
        <v/>
      </c>
      <c r="J189" s="2" t="str">
        <f>'01 Product Master'!Q189</f>
        <v/>
      </c>
      <c r="K189" s="1"/>
    </row>
    <row r="190" spans="1:11" ht="16" x14ac:dyDescent="0.2">
      <c r="A190" s="1" t="str">
        <f>'01 Product Master'!A190</f>
        <v>SN-0189</v>
      </c>
      <c r="B190" s="1">
        <f>'01 Product Master'!C190</f>
        <v>0</v>
      </c>
      <c r="C190" s="7" t="str">
        <f>'01 Product Master'!J190</f>
        <v/>
      </c>
      <c r="D190" s="7" t="str">
        <f>'01 Product Master'!K190</f>
        <v/>
      </c>
      <c r="E190" s="7" t="str">
        <f>'01 Product Master'!L190</f>
        <v/>
      </c>
      <c r="F190" s="7" t="str">
        <f>'01 Product Master'!M190</f>
        <v/>
      </c>
      <c r="G190" s="7" t="str">
        <f>'01 Product Master'!N190</f>
        <v/>
      </c>
      <c r="H190" s="7">
        <f>'01 Product Master'!O190</f>
        <v>0</v>
      </c>
      <c r="I190" s="7" t="str">
        <f>'01 Product Master'!P190</f>
        <v/>
      </c>
      <c r="J190" s="2" t="str">
        <f>'01 Product Master'!Q190</f>
        <v/>
      </c>
      <c r="K190" s="1"/>
    </row>
    <row r="191" spans="1:11" ht="16" x14ac:dyDescent="0.2">
      <c r="A191" s="1" t="str">
        <f>'01 Product Master'!A191</f>
        <v>SN-0190</v>
      </c>
      <c r="B191" s="1">
        <f>'01 Product Master'!C191</f>
        <v>0</v>
      </c>
      <c r="C191" s="7" t="str">
        <f>'01 Product Master'!J191</f>
        <v/>
      </c>
      <c r="D191" s="7" t="str">
        <f>'01 Product Master'!K191</f>
        <v/>
      </c>
      <c r="E191" s="7" t="str">
        <f>'01 Product Master'!L191</f>
        <v/>
      </c>
      <c r="F191" s="7" t="str">
        <f>'01 Product Master'!M191</f>
        <v/>
      </c>
      <c r="G191" s="7" t="str">
        <f>'01 Product Master'!N191</f>
        <v/>
      </c>
      <c r="H191" s="7">
        <f>'01 Product Master'!O191</f>
        <v>0</v>
      </c>
      <c r="I191" s="7" t="str">
        <f>'01 Product Master'!P191</f>
        <v/>
      </c>
      <c r="J191" s="2" t="str">
        <f>'01 Product Master'!Q191</f>
        <v/>
      </c>
      <c r="K191" s="1"/>
    </row>
    <row r="192" spans="1:11" ht="16" x14ac:dyDescent="0.2">
      <c r="A192" s="1" t="str">
        <f>'01 Product Master'!A192</f>
        <v>SN-0191</v>
      </c>
      <c r="B192" s="1">
        <f>'01 Product Master'!C192</f>
        <v>0</v>
      </c>
      <c r="C192" s="7" t="str">
        <f>'01 Product Master'!J192</f>
        <v/>
      </c>
      <c r="D192" s="7" t="str">
        <f>'01 Product Master'!K192</f>
        <v/>
      </c>
      <c r="E192" s="7" t="str">
        <f>'01 Product Master'!L192</f>
        <v/>
      </c>
      <c r="F192" s="7" t="str">
        <f>'01 Product Master'!M192</f>
        <v/>
      </c>
      <c r="G192" s="7" t="str">
        <f>'01 Product Master'!N192</f>
        <v/>
      </c>
      <c r="H192" s="7">
        <f>'01 Product Master'!O192</f>
        <v>0</v>
      </c>
      <c r="I192" s="7" t="str">
        <f>'01 Product Master'!P192</f>
        <v/>
      </c>
      <c r="J192" s="2" t="str">
        <f>'01 Product Master'!Q192</f>
        <v/>
      </c>
      <c r="K192" s="1"/>
    </row>
    <row r="193" spans="1:11" ht="16" x14ac:dyDescent="0.2">
      <c r="A193" s="1" t="str">
        <f>'01 Product Master'!A193</f>
        <v>SN-0192</v>
      </c>
      <c r="B193" s="1">
        <f>'01 Product Master'!C193</f>
        <v>0</v>
      </c>
      <c r="C193" s="7" t="str">
        <f>'01 Product Master'!J193</f>
        <v/>
      </c>
      <c r="D193" s="7" t="str">
        <f>'01 Product Master'!K193</f>
        <v/>
      </c>
      <c r="E193" s="7" t="str">
        <f>'01 Product Master'!L193</f>
        <v/>
      </c>
      <c r="F193" s="7" t="str">
        <f>'01 Product Master'!M193</f>
        <v/>
      </c>
      <c r="G193" s="7" t="str">
        <f>'01 Product Master'!N193</f>
        <v/>
      </c>
      <c r="H193" s="7">
        <f>'01 Product Master'!O193</f>
        <v>0</v>
      </c>
      <c r="I193" s="7" t="str">
        <f>'01 Product Master'!P193</f>
        <v/>
      </c>
      <c r="J193" s="2" t="str">
        <f>'01 Product Master'!Q193</f>
        <v/>
      </c>
      <c r="K193" s="1"/>
    </row>
    <row r="194" spans="1:11" ht="16" x14ac:dyDescent="0.2">
      <c r="A194" s="1" t="str">
        <f>'01 Product Master'!A194</f>
        <v>SN-0193</v>
      </c>
      <c r="B194" s="1">
        <f>'01 Product Master'!C194</f>
        <v>0</v>
      </c>
      <c r="C194" s="7" t="str">
        <f>'01 Product Master'!J194</f>
        <v/>
      </c>
      <c r="D194" s="7" t="str">
        <f>'01 Product Master'!K194</f>
        <v/>
      </c>
      <c r="E194" s="7" t="str">
        <f>'01 Product Master'!L194</f>
        <v/>
      </c>
      <c r="F194" s="7" t="str">
        <f>'01 Product Master'!M194</f>
        <v/>
      </c>
      <c r="G194" s="7" t="str">
        <f>'01 Product Master'!N194</f>
        <v/>
      </c>
      <c r="H194" s="7">
        <f>'01 Product Master'!O194</f>
        <v>0</v>
      </c>
      <c r="I194" s="7" t="str">
        <f>'01 Product Master'!P194</f>
        <v/>
      </c>
      <c r="J194" s="2" t="str">
        <f>'01 Product Master'!Q194</f>
        <v/>
      </c>
      <c r="K194" s="1"/>
    </row>
    <row r="195" spans="1:11" ht="16" x14ac:dyDescent="0.2">
      <c r="A195" s="1" t="str">
        <f>'01 Product Master'!A195</f>
        <v>SN-0194</v>
      </c>
      <c r="B195" s="1">
        <f>'01 Product Master'!C195</f>
        <v>0</v>
      </c>
      <c r="C195" s="7" t="str">
        <f>'01 Product Master'!J195</f>
        <v/>
      </c>
      <c r="D195" s="7" t="str">
        <f>'01 Product Master'!K195</f>
        <v/>
      </c>
      <c r="E195" s="7" t="str">
        <f>'01 Product Master'!L195</f>
        <v/>
      </c>
      <c r="F195" s="7" t="str">
        <f>'01 Product Master'!M195</f>
        <v/>
      </c>
      <c r="G195" s="7" t="str">
        <f>'01 Product Master'!N195</f>
        <v/>
      </c>
      <c r="H195" s="7">
        <f>'01 Product Master'!O195</f>
        <v>0</v>
      </c>
      <c r="I195" s="7" t="str">
        <f>'01 Product Master'!P195</f>
        <v/>
      </c>
      <c r="J195" s="2" t="str">
        <f>'01 Product Master'!Q195</f>
        <v/>
      </c>
      <c r="K195" s="1"/>
    </row>
    <row r="196" spans="1:11" ht="16" x14ac:dyDescent="0.2">
      <c r="A196" s="1" t="str">
        <f>'01 Product Master'!A196</f>
        <v>SN-0195</v>
      </c>
      <c r="B196" s="1">
        <f>'01 Product Master'!C196</f>
        <v>0</v>
      </c>
      <c r="C196" s="7" t="str">
        <f>'01 Product Master'!J196</f>
        <v/>
      </c>
      <c r="D196" s="7" t="str">
        <f>'01 Product Master'!K196</f>
        <v/>
      </c>
      <c r="E196" s="7" t="str">
        <f>'01 Product Master'!L196</f>
        <v/>
      </c>
      <c r="F196" s="7" t="str">
        <f>'01 Product Master'!M196</f>
        <v/>
      </c>
      <c r="G196" s="7" t="str">
        <f>'01 Product Master'!N196</f>
        <v/>
      </c>
      <c r="H196" s="7">
        <f>'01 Product Master'!O196</f>
        <v>0</v>
      </c>
      <c r="I196" s="7" t="str">
        <f>'01 Product Master'!P196</f>
        <v/>
      </c>
      <c r="J196" s="2" t="str">
        <f>'01 Product Master'!Q196</f>
        <v/>
      </c>
      <c r="K196" s="1"/>
    </row>
    <row r="197" spans="1:11" ht="16" x14ac:dyDescent="0.2">
      <c r="A197" s="1" t="str">
        <f>'01 Product Master'!A197</f>
        <v>SN-0196</v>
      </c>
      <c r="B197" s="1">
        <f>'01 Product Master'!C197</f>
        <v>0</v>
      </c>
      <c r="C197" s="7" t="str">
        <f>'01 Product Master'!J197</f>
        <v/>
      </c>
      <c r="D197" s="7" t="str">
        <f>'01 Product Master'!K197</f>
        <v/>
      </c>
      <c r="E197" s="7" t="str">
        <f>'01 Product Master'!L197</f>
        <v/>
      </c>
      <c r="F197" s="7" t="str">
        <f>'01 Product Master'!M197</f>
        <v/>
      </c>
      <c r="G197" s="7" t="str">
        <f>'01 Product Master'!N197</f>
        <v/>
      </c>
      <c r="H197" s="7">
        <f>'01 Product Master'!O197</f>
        <v>0</v>
      </c>
      <c r="I197" s="7" t="str">
        <f>'01 Product Master'!P197</f>
        <v/>
      </c>
      <c r="J197" s="2" t="str">
        <f>'01 Product Master'!Q197</f>
        <v/>
      </c>
      <c r="K197" s="1"/>
    </row>
    <row r="198" spans="1:11" ht="16" x14ac:dyDescent="0.2">
      <c r="A198" s="1" t="str">
        <f>'01 Product Master'!A198</f>
        <v>SN-0197</v>
      </c>
      <c r="B198" s="1">
        <f>'01 Product Master'!C198</f>
        <v>0</v>
      </c>
      <c r="C198" s="7" t="str">
        <f>'01 Product Master'!J198</f>
        <v/>
      </c>
      <c r="D198" s="7" t="str">
        <f>'01 Product Master'!K198</f>
        <v/>
      </c>
      <c r="E198" s="7" t="str">
        <f>'01 Product Master'!L198</f>
        <v/>
      </c>
      <c r="F198" s="7" t="str">
        <f>'01 Product Master'!M198</f>
        <v/>
      </c>
      <c r="G198" s="7" t="str">
        <f>'01 Product Master'!N198</f>
        <v/>
      </c>
      <c r="H198" s="7">
        <f>'01 Product Master'!O198</f>
        <v>0</v>
      </c>
      <c r="I198" s="7" t="str">
        <f>'01 Product Master'!P198</f>
        <v/>
      </c>
      <c r="J198" s="2" t="str">
        <f>'01 Product Master'!Q198</f>
        <v/>
      </c>
      <c r="K198" s="1"/>
    </row>
    <row r="199" spans="1:11" ht="16" x14ac:dyDescent="0.2">
      <c r="A199" s="1" t="str">
        <f>'01 Product Master'!A199</f>
        <v>SN-0198</v>
      </c>
      <c r="B199" s="1">
        <f>'01 Product Master'!C199</f>
        <v>0</v>
      </c>
      <c r="C199" s="7" t="str">
        <f>'01 Product Master'!J199</f>
        <v/>
      </c>
      <c r="D199" s="7" t="str">
        <f>'01 Product Master'!K199</f>
        <v/>
      </c>
      <c r="E199" s="7" t="str">
        <f>'01 Product Master'!L199</f>
        <v/>
      </c>
      <c r="F199" s="7" t="str">
        <f>'01 Product Master'!M199</f>
        <v/>
      </c>
      <c r="G199" s="7" t="str">
        <f>'01 Product Master'!N199</f>
        <v/>
      </c>
      <c r="H199" s="7">
        <f>'01 Product Master'!O199</f>
        <v>0</v>
      </c>
      <c r="I199" s="7" t="str">
        <f>'01 Product Master'!P199</f>
        <v/>
      </c>
      <c r="J199" s="2" t="str">
        <f>'01 Product Master'!Q199</f>
        <v/>
      </c>
      <c r="K199" s="1"/>
    </row>
    <row r="200" spans="1:11" ht="16" x14ac:dyDescent="0.2">
      <c r="A200" s="1" t="str">
        <f>'01 Product Master'!A200</f>
        <v>SN-0199</v>
      </c>
      <c r="B200" s="1">
        <f>'01 Product Master'!C200</f>
        <v>0</v>
      </c>
      <c r="C200" s="7" t="str">
        <f>'01 Product Master'!J200</f>
        <v/>
      </c>
      <c r="D200" s="7" t="str">
        <f>'01 Product Master'!K200</f>
        <v/>
      </c>
      <c r="E200" s="7" t="str">
        <f>'01 Product Master'!L200</f>
        <v/>
      </c>
      <c r="F200" s="7" t="str">
        <f>'01 Product Master'!M200</f>
        <v/>
      </c>
      <c r="G200" s="7" t="str">
        <f>'01 Product Master'!N200</f>
        <v/>
      </c>
      <c r="H200" s="7">
        <f>'01 Product Master'!O200</f>
        <v>0</v>
      </c>
      <c r="I200" s="7" t="str">
        <f>'01 Product Master'!P200</f>
        <v/>
      </c>
      <c r="J200" s="2" t="str">
        <f>'01 Product Master'!Q200</f>
        <v/>
      </c>
      <c r="K200" s="1"/>
    </row>
    <row r="201" spans="1:11" ht="16" x14ac:dyDescent="0.2">
      <c r="A201" s="1" t="str">
        <f>'01 Product Master'!A201</f>
        <v>SN-0200</v>
      </c>
      <c r="B201" s="1">
        <f>'01 Product Master'!C201</f>
        <v>0</v>
      </c>
      <c r="C201" s="7" t="str">
        <f>'01 Product Master'!J201</f>
        <v/>
      </c>
      <c r="D201" s="7" t="str">
        <f>'01 Product Master'!K201</f>
        <v/>
      </c>
      <c r="E201" s="7" t="str">
        <f>'01 Product Master'!L201</f>
        <v/>
      </c>
      <c r="F201" s="7" t="str">
        <f>'01 Product Master'!M201</f>
        <v/>
      </c>
      <c r="G201" s="7" t="str">
        <f>'01 Product Master'!N201</f>
        <v/>
      </c>
      <c r="H201" s="7">
        <f>'01 Product Master'!O201</f>
        <v>0</v>
      </c>
      <c r="I201" s="7" t="str">
        <f>'01 Product Master'!P201</f>
        <v/>
      </c>
      <c r="J201" s="2" t="str">
        <f>'01 Product Master'!Q201</f>
        <v/>
      </c>
      <c r="K201" s="1"/>
    </row>
    <row r="202" spans="1:11" ht="16" x14ac:dyDescent="0.2">
      <c r="A202" s="1" t="str">
        <f>'01 Product Master'!A202</f>
        <v>SN-0201</v>
      </c>
      <c r="B202" s="1">
        <f>'01 Product Master'!C202</f>
        <v>0</v>
      </c>
      <c r="C202" s="7" t="str">
        <f>'01 Product Master'!J202</f>
        <v/>
      </c>
      <c r="D202" s="7" t="str">
        <f>'01 Product Master'!K202</f>
        <v/>
      </c>
      <c r="E202" s="7" t="str">
        <f>'01 Product Master'!L202</f>
        <v/>
      </c>
      <c r="F202" s="7" t="str">
        <f>'01 Product Master'!M202</f>
        <v/>
      </c>
      <c r="G202" s="7" t="str">
        <f>'01 Product Master'!N202</f>
        <v/>
      </c>
      <c r="H202" s="7">
        <f>'01 Product Master'!O202</f>
        <v>0</v>
      </c>
      <c r="I202" s="7" t="str">
        <f>'01 Product Master'!P202</f>
        <v/>
      </c>
      <c r="J202" s="2" t="str">
        <f>'01 Product Master'!Q202</f>
        <v/>
      </c>
      <c r="K202" s="1"/>
    </row>
    <row r="203" spans="1:11" ht="16" x14ac:dyDescent="0.2">
      <c r="A203" s="1" t="str">
        <f>'01 Product Master'!A203</f>
        <v>SN-0202</v>
      </c>
      <c r="B203" s="1">
        <f>'01 Product Master'!C203</f>
        <v>0</v>
      </c>
      <c r="C203" s="7" t="str">
        <f>'01 Product Master'!J203</f>
        <v/>
      </c>
      <c r="D203" s="7" t="str">
        <f>'01 Product Master'!K203</f>
        <v/>
      </c>
      <c r="E203" s="7" t="str">
        <f>'01 Product Master'!L203</f>
        <v/>
      </c>
      <c r="F203" s="7" t="str">
        <f>'01 Product Master'!M203</f>
        <v/>
      </c>
      <c r="G203" s="7" t="str">
        <f>'01 Product Master'!N203</f>
        <v/>
      </c>
      <c r="H203" s="7">
        <f>'01 Product Master'!O203</f>
        <v>0</v>
      </c>
      <c r="I203" s="7" t="str">
        <f>'01 Product Master'!P203</f>
        <v/>
      </c>
      <c r="J203" s="2" t="str">
        <f>'01 Product Master'!Q203</f>
        <v/>
      </c>
      <c r="K203" s="1"/>
    </row>
    <row r="204" spans="1:11" ht="16" x14ac:dyDescent="0.2">
      <c r="A204" s="1" t="str">
        <f>'01 Product Master'!A204</f>
        <v>SN-0203</v>
      </c>
      <c r="B204" s="1">
        <f>'01 Product Master'!C204</f>
        <v>0</v>
      </c>
      <c r="C204" s="7" t="str">
        <f>'01 Product Master'!J204</f>
        <v/>
      </c>
      <c r="D204" s="7" t="str">
        <f>'01 Product Master'!K204</f>
        <v/>
      </c>
      <c r="E204" s="7" t="str">
        <f>'01 Product Master'!L204</f>
        <v/>
      </c>
      <c r="F204" s="7" t="str">
        <f>'01 Product Master'!M204</f>
        <v/>
      </c>
      <c r="G204" s="7" t="str">
        <f>'01 Product Master'!N204</f>
        <v/>
      </c>
      <c r="H204" s="7">
        <f>'01 Product Master'!O204</f>
        <v>0</v>
      </c>
      <c r="I204" s="7" t="str">
        <f>'01 Product Master'!P204</f>
        <v/>
      </c>
      <c r="J204" s="2" t="str">
        <f>'01 Product Master'!Q204</f>
        <v/>
      </c>
      <c r="K204" s="1"/>
    </row>
    <row r="205" spans="1:11" ht="16" x14ac:dyDescent="0.2">
      <c r="A205" s="1" t="str">
        <f>'01 Product Master'!A205</f>
        <v>SN-0204</v>
      </c>
      <c r="B205" s="1">
        <f>'01 Product Master'!C205</f>
        <v>0</v>
      </c>
      <c r="C205" s="7" t="str">
        <f>'01 Product Master'!J205</f>
        <v/>
      </c>
      <c r="D205" s="7" t="str">
        <f>'01 Product Master'!K205</f>
        <v/>
      </c>
      <c r="E205" s="7" t="str">
        <f>'01 Product Master'!L205</f>
        <v/>
      </c>
      <c r="F205" s="7" t="str">
        <f>'01 Product Master'!M205</f>
        <v/>
      </c>
      <c r="G205" s="7" t="str">
        <f>'01 Product Master'!N205</f>
        <v/>
      </c>
      <c r="H205" s="7">
        <f>'01 Product Master'!O205</f>
        <v>0</v>
      </c>
      <c r="I205" s="7" t="str">
        <f>'01 Product Master'!P205</f>
        <v/>
      </c>
      <c r="J205" s="2" t="str">
        <f>'01 Product Master'!Q205</f>
        <v/>
      </c>
      <c r="K205" s="1"/>
    </row>
    <row r="206" spans="1:11" ht="16" x14ac:dyDescent="0.2">
      <c r="A206" s="1" t="str">
        <f>'01 Product Master'!A206</f>
        <v>SN-0205</v>
      </c>
      <c r="B206" s="1">
        <f>'01 Product Master'!C206</f>
        <v>0</v>
      </c>
      <c r="C206" s="7" t="str">
        <f>'01 Product Master'!J206</f>
        <v/>
      </c>
      <c r="D206" s="7" t="str">
        <f>'01 Product Master'!K206</f>
        <v/>
      </c>
      <c r="E206" s="7" t="str">
        <f>'01 Product Master'!L206</f>
        <v/>
      </c>
      <c r="F206" s="7" t="str">
        <f>'01 Product Master'!M206</f>
        <v/>
      </c>
      <c r="G206" s="7" t="str">
        <f>'01 Product Master'!N206</f>
        <v/>
      </c>
      <c r="H206" s="7">
        <f>'01 Product Master'!O206</f>
        <v>0</v>
      </c>
      <c r="I206" s="7" t="str">
        <f>'01 Product Master'!P206</f>
        <v/>
      </c>
      <c r="J206" s="2" t="str">
        <f>'01 Product Master'!Q206</f>
        <v/>
      </c>
      <c r="K206" s="1"/>
    </row>
    <row r="207" spans="1:11" ht="16" x14ac:dyDescent="0.2">
      <c r="A207" s="1" t="str">
        <f>'01 Product Master'!A207</f>
        <v>SN-0206</v>
      </c>
      <c r="B207" s="1">
        <f>'01 Product Master'!C207</f>
        <v>0</v>
      </c>
      <c r="C207" s="7" t="str">
        <f>'01 Product Master'!J207</f>
        <v/>
      </c>
      <c r="D207" s="7" t="str">
        <f>'01 Product Master'!K207</f>
        <v/>
      </c>
      <c r="E207" s="7" t="str">
        <f>'01 Product Master'!L207</f>
        <v/>
      </c>
      <c r="F207" s="7" t="str">
        <f>'01 Product Master'!M207</f>
        <v/>
      </c>
      <c r="G207" s="7" t="str">
        <f>'01 Product Master'!N207</f>
        <v/>
      </c>
      <c r="H207" s="7">
        <f>'01 Product Master'!O207</f>
        <v>0</v>
      </c>
      <c r="I207" s="7" t="str">
        <f>'01 Product Master'!P207</f>
        <v/>
      </c>
      <c r="J207" s="2" t="str">
        <f>'01 Product Master'!Q207</f>
        <v/>
      </c>
      <c r="K207" s="1"/>
    </row>
    <row r="208" spans="1:11" ht="16" x14ac:dyDescent="0.2">
      <c r="A208" s="1" t="str">
        <f>'01 Product Master'!A208</f>
        <v>SN-0207</v>
      </c>
      <c r="B208" s="1">
        <f>'01 Product Master'!C208</f>
        <v>0</v>
      </c>
      <c r="C208" s="7" t="str">
        <f>'01 Product Master'!J208</f>
        <v/>
      </c>
      <c r="D208" s="7" t="str">
        <f>'01 Product Master'!K208</f>
        <v/>
      </c>
      <c r="E208" s="7" t="str">
        <f>'01 Product Master'!L208</f>
        <v/>
      </c>
      <c r="F208" s="7" t="str">
        <f>'01 Product Master'!M208</f>
        <v/>
      </c>
      <c r="G208" s="7" t="str">
        <f>'01 Product Master'!N208</f>
        <v/>
      </c>
      <c r="H208" s="7">
        <f>'01 Product Master'!O208</f>
        <v>0</v>
      </c>
      <c r="I208" s="7" t="str">
        <f>'01 Product Master'!P208</f>
        <v/>
      </c>
      <c r="J208" s="2" t="str">
        <f>'01 Product Master'!Q208</f>
        <v/>
      </c>
      <c r="K208" s="1"/>
    </row>
    <row r="209" spans="1:11" ht="16" x14ac:dyDescent="0.2">
      <c r="A209" s="1" t="str">
        <f>'01 Product Master'!A209</f>
        <v>SN-0208</v>
      </c>
      <c r="B209" s="1">
        <f>'01 Product Master'!C209</f>
        <v>0</v>
      </c>
      <c r="C209" s="7" t="str">
        <f>'01 Product Master'!J209</f>
        <v/>
      </c>
      <c r="D209" s="7" t="str">
        <f>'01 Product Master'!K209</f>
        <v/>
      </c>
      <c r="E209" s="7" t="str">
        <f>'01 Product Master'!L209</f>
        <v/>
      </c>
      <c r="F209" s="7" t="str">
        <f>'01 Product Master'!M209</f>
        <v/>
      </c>
      <c r="G209" s="7" t="str">
        <f>'01 Product Master'!N209</f>
        <v/>
      </c>
      <c r="H209" s="7">
        <f>'01 Product Master'!O209</f>
        <v>0</v>
      </c>
      <c r="I209" s="7" t="str">
        <f>'01 Product Master'!P209</f>
        <v/>
      </c>
      <c r="J209" s="2" t="str">
        <f>'01 Product Master'!Q209</f>
        <v/>
      </c>
      <c r="K209" s="1"/>
    </row>
    <row r="210" spans="1:11" ht="16" x14ac:dyDescent="0.2">
      <c r="A210" s="1" t="str">
        <f>'01 Product Master'!A210</f>
        <v>SN-0209</v>
      </c>
      <c r="B210" s="1">
        <f>'01 Product Master'!C210</f>
        <v>0</v>
      </c>
      <c r="C210" s="7" t="str">
        <f>'01 Product Master'!J210</f>
        <v/>
      </c>
      <c r="D210" s="7" t="str">
        <f>'01 Product Master'!K210</f>
        <v/>
      </c>
      <c r="E210" s="7" t="str">
        <f>'01 Product Master'!L210</f>
        <v/>
      </c>
      <c r="F210" s="7" t="str">
        <f>'01 Product Master'!M210</f>
        <v/>
      </c>
      <c r="G210" s="7" t="str">
        <f>'01 Product Master'!N210</f>
        <v/>
      </c>
      <c r="H210" s="7">
        <f>'01 Product Master'!O210</f>
        <v>0</v>
      </c>
      <c r="I210" s="7" t="str">
        <f>'01 Product Master'!P210</f>
        <v/>
      </c>
      <c r="J210" s="2" t="str">
        <f>'01 Product Master'!Q210</f>
        <v/>
      </c>
      <c r="K210" s="1"/>
    </row>
    <row r="211" spans="1:11" ht="16" x14ac:dyDescent="0.2">
      <c r="A211" s="1" t="str">
        <f>'01 Product Master'!A211</f>
        <v>SN-0210</v>
      </c>
      <c r="B211" s="1">
        <f>'01 Product Master'!C211</f>
        <v>0</v>
      </c>
      <c r="C211" s="7" t="str">
        <f>'01 Product Master'!J211</f>
        <v/>
      </c>
      <c r="D211" s="7" t="str">
        <f>'01 Product Master'!K211</f>
        <v/>
      </c>
      <c r="E211" s="7" t="str">
        <f>'01 Product Master'!L211</f>
        <v/>
      </c>
      <c r="F211" s="7" t="str">
        <f>'01 Product Master'!M211</f>
        <v/>
      </c>
      <c r="G211" s="7" t="str">
        <f>'01 Product Master'!N211</f>
        <v/>
      </c>
      <c r="H211" s="7">
        <f>'01 Product Master'!O211</f>
        <v>0</v>
      </c>
      <c r="I211" s="7" t="str">
        <f>'01 Product Master'!P211</f>
        <v/>
      </c>
      <c r="J211" s="2" t="str">
        <f>'01 Product Master'!Q211</f>
        <v/>
      </c>
      <c r="K211" s="1"/>
    </row>
    <row r="212" spans="1:11" ht="16" x14ac:dyDescent="0.2">
      <c r="A212" s="1" t="str">
        <f>'01 Product Master'!A212</f>
        <v>SN-0211</v>
      </c>
      <c r="B212" s="1">
        <f>'01 Product Master'!C212</f>
        <v>0</v>
      </c>
      <c r="C212" s="7" t="str">
        <f>'01 Product Master'!J212</f>
        <v/>
      </c>
      <c r="D212" s="7" t="str">
        <f>'01 Product Master'!K212</f>
        <v/>
      </c>
      <c r="E212" s="7" t="str">
        <f>'01 Product Master'!L212</f>
        <v/>
      </c>
      <c r="F212" s="7" t="str">
        <f>'01 Product Master'!M212</f>
        <v/>
      </c>
      <c r="G212" s="7" t="str">
        <f>'01 Product Master'!N212</f>
        <v/>
      </c>
      <c r="H212" s="7">
        <f>'01 Product Master'!O212</f>
        <v>0</v>
      </c>
      <c r="I212" s="7" t="str">
        <f>'01 Product Master'!P212</f>
        <v/>
      </c>
      <c r="J212" s="2" t="str">
        <f>'01 Product Master'!Q212</f>
        <v/>
      </c>
      <c r="K212" s="1"/>
    </row>
    <row r="213" spans="1:11" ht="16" x14ac:dyDescent="0.2">
      <c r="A213" s="1" t="str">
        <f>'01 Product Master'!A213</f>
        <v>SN-0212</v>
      </c>
      <c r="B213" s="1">
        <f>'01 Product Master'!C213</f>
        <v>0</v>
      </c>
      <c r="C213" s="7" t="str">
        <f>'01 Product Master'!J213</f>
        <v/>
      </c>
      <c r="D213" s="7" t="str">
        <f>'01 Product Master'!K213</f>
        <v/>
      </c>
      <c r="E213" s="7" t="str">
        <f>'01 Product Master'!L213</f>
        <v/>
      </c>
      <c r="F213" s="7" t="str">
        <f>'01 Product Master'!M213</f>
        <v/>
      </c>
      <c r="G213" s="7" t="str">
        <f>'01 Product Master'!N213</f>
        <v/>
      </c>
      <c r="H213" s="7">
        <f>'01 Product Master'!O213</f>
        <v>0</v>
      </c>
      <c r="I213" s="7" t="str">
        <f>'01 Product Master'!P213</f>
        <v/>
      </c>
      <c r="J213" s="2" t="str">
        <f>'01 Product Master'!Q213</f>
        <v/>
      </c>
      <c r="K213" s="1"/>
    </row>
    <row r="214" spans="1:11" ht="16" x14ac:dyDescent="0.2">
      <c r="A214" s="1" t="str">
        <f>'01 Product Master'!A214</f>
        <v>SN-0213</v>
      </c>
      <c r="B214" s="1">
        <f>'01 Product Master'!C214</f>
        <v>0</v>
      </c>
      <c r="C214" s="7" t="str">
        <f>'01 Product Master'!J214</f>
        <v/>
      </c>
      <c r="D214" s="7" t="str">
        <f>'01 Product Master'!K214</f>
        <v/>
      </c>
      <c r="E214" s="7" t="str">
        <f>'01 Product Master'!L214</f>
        <v/>
      </c>
      <c r="F214" s="7" t="str">
        <f>'01 Product Master'!M214</f>
        <v/>
      </c>
      <c r="G214" s="7" t="str">
        <f>'01 Product Master'!N214</f>
        <v/>
      </c>
      <c r="H214" s="7">
        <f>'01 Product Master'!O214</f>
        <v>0</v>
      </c>
      <c r="I214" s="7" t="str">
        <f>'01 Product Master'!P214</f>
        <v/>
      </c>
      <c r="J214" s="2" t="str">
        <f>'01 Product Master'!Q214</f>
        <v/>
      </c>
      <c r="K214" s="1"/>
    </row>
    <row r="215" spans="1:11" ht="16" x14ac:dyDescent="0.2">
      <c r="A215" s="1" t="str">
        <f>'01 Product Master'!A215</f>
        <v>SN-0214</v>
      </c>
      <c r="B215" s="1">
        <f>'01 Product Master'!C215</f>
        <v>0</v>
      </c>
      <c r="C215" s="7" t="str">
        <f>'01 Product Master'!J215</f>
        <v/>
      </c>
      <c r="D215" s="7" t="str">
        <f>'01 Product Master'!K215</f>
        <v/>
      </c>
      <c r="E215" s="7" t="str">
        <f>'01 Product Master'!L215</f>
        <v/>
      </c>
      <c r="F215" s="7" t="str">
        <f>'01 Product Master'!M215</f>
        <v/>
      </c>
      <c r="G215" s="7" t="str">
        <f>'01 Product Master'!N215</f>
        <v/>
      </c>
      <c r="H215" s="7">
        <f>'01 Product Master'!O215</f>
        <v>0</v>
      </c>
      <c r="I215" s="7" t="str">
        <f>'01 Product Master'!P215</f>
        <v/>
      </c>
      <c r="J215" s="2" t="str">
        <f>'01 Product Master'!Q215</f>
        <v/>
      </c>
      <c r="K215" s="1"/>
    </row>
    <row r="216" spans="1:11" ht="16" x14ac:dyDescent="0.2">
      <c r="A216" s="1" t="str">
        <f>'01 Product Master'!A216</f>
        <v>SN-0215</v>
      </c>
      <c r="B216" s="1">
        <f>'01 Product Master'!C216</f>
        <v>0</v>
      </c>
      <c r="C216" s="7" t="str">
        <f>'01 Product Master'!J216</f>
        <v/>
      </c>
      <c r="D216" s="7" t="str">
        <f>'01 Product Master'!K216</f>
        <v/>
      </c>
      <c r="E216" s="7" t="str">
        <f>'01 Product Master'!L216</f>
        <v/>
      </c>
      <c r="F216" s="7" t="str">
        <f>'01 Product Master'!M216</f>
        <v/>
      </c>
      <c r="G216" s="7" t="str">
        <f>'01 Product Master'!N216</f>
        <v/>
      </c>
      <c r="H216" s="7">
        <f>'01 Product Master'!O216</f>
        <v>0</v>
      </c>
      <c r="I216" s="7" t="str">
        <f>'01 Product Master'!P216</f>
        <v/>
      </c>
      <c r="J216" s="2" t="str">
        <f>'01 Product Master'!Q216</f>
        <v/>
      </c>
      <c r="K216" s="1"/>
    </row>
    <row r="217" spans="1:11" ht="16" x14ac:dyDescent="0.2">
      <c r="A217" s="1" t="str">
        <f>'01 Product Master'!A217</f>
        <v>SN-0216</v>
      </c>
      <c r="B217" s="1">
        <f>'01 Product Master'!C217</f>
        <v>0</v>
      </c>
      <c r="C217" s="7" t="str">
        <f>'01 Product Master'!J217</f>
        <v/>
      </c>
      <c r="D217" s="7" t="str">
        <f>'01 Product Master'!K217</f>
        <v/>
      </c>
      <c r="E217" s="7" t="str">
        <f>'01 Product Master'!L217</f>
        <v/>
      </c>
      <c r="F217" s="7" t="str">
        <f>'01 Product Master'!M217</f>
        <v/>
      </c>
      <c r="G217" s="7" t="str">
        <f>'01 Product Master'!N217</f>
        <v/>
      </c>
      <c r="H217" s="7">
        <f>'01 Product Master'!O217</f>
        <v>0</v>
      </c>
      <c r="I217" s="7" t="str">
        <f>'01 Product Master'!P217</f>
        <v/>
      </c>
      <c r="J217" s="2" t="str">
        <f>'01 Product Master'!Q217</f>
        <v/>
      </c>
      <c r="K217" s="1"/>
    </row>
    <row r="218" spans="1:11" ht="16" x14ac:dyDescent="0.2">
      <c r="A218" s="1" t="str">
        <f>'01 Product Master'!A218</f>
        <v>SN-0217</v>
      </c>
      <c r="B218" s="1">
        <f>'01 Product Master'!C218</f>
        <v>0</v>
      </c>
      <c r="C218" s="7" t="str">
        <f>'01 Product Master'!J218</f>
        <v/>
      </c>
      <c r="D218" s="7" t="str">
        <f>'01 Product Master'!K218</f>
        <v/>
      </c>
      <c r="E218" s="7" t="str">
        <f>'01 Product Master'!L218</f>
        <v/>
      </c>
      <c r="F218" s="7" t="str">
        <f>'01 Product Master'!M218</f>
        <v/>
      </c>
      <c r="G218" s="7" t="str">
        <f>'01 Product Master'!N218</f>
        <v/>
      </c>
      <c r="H218" s="7">
        <f>'01 Product Master'!O218</f>
        <v>0</v>
      </c>
      <c r="I218" s="7" t="str">
        <f>'01 Product Master'!P218</f>
        <v/>
      </c>
      <c r="J218" s="2" t="str">
        <f>'01 Product Master'!Q218</f>
        <v/>
      </c>
      <c r="K218" s="1"/>
    </row>
    <row r="219" spans="1:11" ht="16" x14ac:dyDescent="0.2">
      <c r="A219" s="1" t="str">
        <f>'01 Product Master'!A219</f>
        <v>SN-0218</v>
      </c>
      <c r="B219" s="1">
        <f>'01 Product Master'!C219</f>
        <v>0</v>
      </c>
      <c r="C219" s="7" t="str">
        <f>'01 Product Master'!J219</f>
        <v/>
      </c>
      <c r="D219" s="7" t="str">
        <f>'01 Product Master'!K219</f>
        <v/>
      </c>
      <c r="E219" s="7" t="str">
        <f>'01 Product Master'!L219</f>
        <v/>
      </c>
      <c r="F219" s="7" t="str">
        <f>'01 Product Master'!M219</f>
        <v/>
      </c>
      <c r="G219" s="7" t="str">
        <f>'01 Product Master'!N219</f>
        <v/>
      </c>
      <c r="H219" s="7">
        <f>'01 Product Master'!O219</f>
        <v>0</v>
      </c>
      <c r="I219" s="7" t="str">
        <f>'01 Product Master'!P219</f>
        <v/>
      </c>
      <c r="J219" s="2" t="str">
        <f>'01 Product Master'!Q219</f>
        <v/>
      </c>
      <c r="K219" s="1"/>
    </row>
    <row r="220" spans="1:11" ht="16" x14ac:dyDescent="0.2">
      <c r="A220" s="1" t="str">
        <f>'01 Product Master'!A220</f>
        <v>SN-0219</v>
      </c>
      <c r="B220" s="1">
        <f>'01 Product Master'!C220</f>
        <v>0</v>
      </c>
      <c r="C220" s="7" t="str">
        <f>'01 Product Master'!J220</f>
        <v/>
      </c>
      <c r="D220" s="7" t="str">
        <f>'01 Product Master'!K220</f>
        <v/>
      </c>
      <c r="E220" s="7" t="str">
        <f>'01 Product Master'!L220</f>
        <v/>
      </c>
      <c r="F220" s="7" t="str">
        <f>'01 Product Master'!M220</f>
        <v/>
      </c>
      <c r="G220" s="7" t="str">
        <f>'01 Product Master'!N220</f>
        <v/>
      </c>
      <c r="H220" s="7">
        <f>'01 Product Master'!O220</f>
        <v>0</v>
      </c>
      <c r="I220" s="7" t="str">
        <f>'01 Product Master'!P220</f>
        <v/>
      </c>
      <c r="J220" s="2" t="str">
        <f>'01 Product Master'!Q220</f>
        <v/>
      </c>
      <c r="K220" s="1"/>
    </row>
    <row r="221" spans="1:11" ht="16" x14ac:dyDescent="0.2">
      <c r="A221" s="1" t="str">
        <f>'01 Product Master'!A221</f>
        <v>SN-0220</v>
      </c>
      <c r="B221" s="1">
        <f>'01 Product Master'!C221</f>
        <v>0</v>
      </c>
      <c r="C221" s="7" t="str">
        <f>'01 Product Master'!J221</f>
        <v/>
      </c>
      <c r="D221" s="7" t="str">
        <f>'01 Product Master'!K221</f>
        <v/>
      </c>
      <c r="E221" s="7" t="str">
        <f>'01 Product Master'!L221</f>
        <v/>
      </c>
      <c r="F221" s="7" t="str">
        <f>'01 Product Master'!M221</f>
        <v/>
      </c>
      <c r="G221" s="7" t="str">
        <f>'01 Product Master'!N221</f>
        <v/>
      </c>
      <c r="H221" s="7">
        <f>'01 Product Master'!O221</f>
        <v>0</v>
      </c>
      <c r="I221" s="7" t="str">
        <f>'01 Product Master'!P221</f>
        <v/>
      </c>
      <c r="J221" s="2" t="str">
        <f>'01 Product Master'!Q221</f>
        <v/>
      </c>
      <c r="K221" s="1"/>
    </row>
    <row r="222" spans="1:11" ht="16" x14ac:dyDescent="0.2">
      <c r="A222" s="1" t="str">
        <f>'01 Product Master'!A222</f>
        <v>SN-0221</v>
      </c>
      <c r="B222" s="1">
        <f>'01 Product Master'!C222</f>
        <v>0</v>
      </c>
      <c r="C222" s="7" t="str">
        <f>'01 Product Master'!J222</f>
        <v/>
      </c>
      <c r="D222" s="7" t="str">
        <f>'01 Product Master'!K222</f>
        <v/>
      </c>
      <c r="E222" s="7" t="str">
        <f>'01 Product Master'!L222</f>
        <v/>
      </c>
      <c r="F222" s="7" t="str">
        <f>'01 Product Master'!M222</f>
        <v/>
      </c>
      <c r="G222" s="7" t="str">
        <f>'01 Product Master'!N222</f>
        <v/>
      </c>
      <c r="H222" s="7">
        <f>'01 Product Master'!O222</f>
        <v>0</v>
      </c>
      <c r="I222" s="7" t="str">
        <f>'01 Product Master'!P222</f>
        <v/>
      </c>
      <c r="J222" s="2" t="str">
        <f>'01 Product Master'!Q222</f>
        <v/>
      </c>
      <c r="K222" s="1"/>
    </row>
    <row r="223" spans="1:11" ht="16" x14ac:dyDescent="0.2">
      <c r="A223" s="1" t="str">
        <f>'01 Product Master'!A223</f>
        <v>SN-0222</v>
      </c>
      <c r="B223" s="1">
        <f>'01 Product Master'!C223</f>
        <v>0</v>
      </c>
      <c r="C223" s="7" t="str">
        <f>'01 Product Master'!J223</f>
        <v/>
      </c>
      <c r="D223" s="7" t="str">
        <f>'01 Product Master'!K223</f>
        <v/>
      </c>
      <c r="E223" s="7" t="str">
        <f>'01 Product Master'!L223</f>
        <v/>
      </c>
      <c r="F223" s="7" t="str">
        <f>'01 Product Master'!M223</f>
        <v/>
      </c>
      <c r="G223" s="7" t="str">
        <f>'01 Product Master'!N223</f>
        <v/>
      </c>
      <c r="H223" s="7">
        <f>'01 Product Master'!O223</f>
        <v>0</v>
      </c>
      <c r="I223" s="7" t="str">
        <f>'01 Product Master'!P223</f>
        <v/>
      </c>
      <c r="J223" s="2" t="str">
        <f>'01 Product Master'!Q223</f>
        <v/>
      </c>
      <c r="K223" s="1"/>
    </row>
    <row r="224" spans="1:11" ht="16" x14ac:dyDescent="0.2">
      <c r="A224" s="1" t="str">
        <f>'01 Product Master'!A224</f>
        <v>SN-0223</v>
      </c>
      <c r="B224" s="1">
        <f>'01 Product Master'!C224</f>
        <v>0</v>
      </c>
      <c r="C224" s="7" t="str">
        <f>'01 Product Master'!J224</f>
        <v/>
      </c>
      <c r="D224" s="7" t="str">
        <f>'01 Product Master'!K224</f>
        <v/>
      </c>
      <c r="E224" s="7" t="str">
        <f>'01 Product Master'!L224</f>
        <v/>
      </c>
      <c r="F224" s="7" t="str">
        <f>'01 Product Master'!M224</f>
        <v/>
      </c>
      <c r="G224" s="7" t="str">
        <f>'01 Product Master'!N224</f>
        <v/>
      </c>
      <c r="H224" s="7">
        <f>'01 Product Master'!O224</f>
        <v>0</v>
      </c>
      <c r="I224" s="7" t="str">
        <f>'01 Product Master'!P224</f>
        <v/>
      </c>
      <c r="J224" s="2" t="str">
        <f>'01 Product Master'!Q224</f>
        <v/>
      </c>
      <c r="K224" s="1"/>
    </row>
    <row r="225" spans="1:11" ht="16" x14ac:dyDescent="0.2">
      <c r="A225" s="1" t="str">
        <f>'01 Product Master'!A225</f>
        <v>SN-0224</v>
      </c>
      <c r="B225" s="1">
        <f>'01 Product Master'!C225</f>
        <v>0</v>
      </c>
      <c r="C225" s="7" t="str">
        <f>'01 Product Master'!J225</f>
        <v/>
      </c>
      <c r="D225" s="7" t="str">
        <f>'01 Product Master'!K225</f>
        <v/>
      </c>
      <c r="E225" s="7" t="str">
        <f>'01 Product Master'!L225</f>
        <v/>
      </c>
      <c r="F225" s="7" t="str">
        <f>'01 Product Master'!M225</f>
        <v/>
      </c>
      <c r="G225" s="7" t="str">
        <f>'01 Product Master'!N225</f>
        <v/>
      </c>
      <c r="H225" s="7">
        <f>'01 Product Master'!O225</f>
        <v>0</v>
      </c>
      <c r="I225" s="7" t="str">
        <f>'01 Product Master'!P225</f>
        <v/>
      </c>
      <c r="J225" s="2" t="str">
        <f>'01 Product Master'!Q225</f>
        <v/>
      </c>
      <c r="K225" s="1"/>
    </row>
    <row r="226" spans="1:11" ht="16" x14ac:dyDescent="0.2">
      <c r="A226" s="1" t="str">
        <f>'01 Product Master'!A226</f>
        <v>SN-0225</v>
      </c>
      <c r="B226" s="1">
        <f>'01 Product Master'!C226</f>
        <v>0</v>
      </c>
      <c r="C226" s="7" t="str">
        <f>'01 Product Master'!J226</f>
        <v/>
      </c>
      <c r="D226" s="7" t="str">
        <f>'01 Product Master'!K226</f>
        <v/>
      </c>
      <c r="E226" s="7" t="str">
        <f>'01 Product Master'!L226</f>
        <v/>
      </c>
      <c r="F226" s="7" t="str">
        <f>'01 Product Master'!M226</f>
        <v/>
      </c>
      <c r="G226" s="7" t="str">
        <f>'01 Product Master'!N226</f>
        <v/>
      </c>
      <c r="H226" s="7">
        <f>'01 Product Master'!O226</f>
        <v>0</v>
      </c>
      <c r="I226" s="7" t="str">
        <f>'01 Product Master'!P226</f>
        <v/>
      </c>
      <c r="J226" s="2" t="str">
        <f>'01 Product Master'!Q226</f>
        <v/>
      </c>
      <c r="K226" s="1"/>
    </row>
    <row r="227" spans="1:11" ht="16" x14ac:dyDescent="0.2">
      <c r="A227" s="1" t="str">
        <f>'01 Product Master'!A227</f>
        <v>SN-0226</v>
      </c>
      <c r="B227" s="1">
        <f>'01 Product Master'!C227</f>
        <v>0</v>
      </c>
      <c r="C227" s="7" t="str">
        <f>'01 Product Master'!J227</f>
        <v/>
      </c>
      <c r="D227" s="7" t="str">
        <f>'01 Product Master'!K227</f>
        <v/>
      </c>
      <c r="E227" s="7" t="str">
        <f>'01 Product Master'!L227</f>
        <v/>
      </c>
      <c r="F227" s="7" t="str">
        <f>'01 Product Master'!M227</f>
        <v/>
      </c>
      <c r="G227" s="7" t="str">
        <f>'01 Product Master'!N227</f>
        <v/>
      </c>
      <c r="H227" s="7">
        <f>'01 Product Master'!O227</f>
        <v>0</v>
      </c>
      <c r="I227" s="7" t="str">
        <f>'01 Product Master'!P227</f>
        <v/>
      </c>
      <c r="J227" s="2" t="str">
        <f>'01 Product Master'!Q227</f>
        <v/>
      </c>
      <c r="K227" s="1"/>
    </row>
    <row r="228" spans="1:11" ht="16" x14ac:dyDescent="0.2">
      <c r="A228" s="1" t="str">
        <f>'01 Product Master'!A228</f>
        <v>SN-0227</v>
      </c>
      <c r="B228" s="1">
        <f>'01 Product Master'!C228</f>
        <v>0</v>
      </c>
      <c r="C228" s="7" t="str">
        <f>'01 Product Master'!J228</f>
        <v/>
      </c>
      <c r="D228" s="7" t="str">
        <f>'01 Product Master'!K228</f>
        <v/>
      </c>
      <c r="E228" s="7" t="str">
        <f>'01 Product Master'!L228</f>
        <v/>
      </c>
      <c r="F228" s="7" t="str">
        <f>'01 Product Master'!M228</f>
        <v/>
      </c>
      <c r="G228" s="7" t="str">
        <f>'01 Product Master'!N228</f>
        <v/>
      </c>
      <c r="H228" s="7">
        <f>'01 Product Master'!O228</f>
        <v>0</v>
      </c>
      <c r="I228" s="7" t="str">
        <f>'01 Product Master'!P228</f>
        <v/>
      </c>
      <c r="J228" s="2" t="str">
        <f>'01 Product Master'!Q228</f>
        <v/>
      </c>
      <c r="K228" s="1"/>
    </row>
    <row r="229" spans="1:11" ht="16" x14ac:dyDescent="0.2">
      <c r="A229" s="1" t="str">
        <f>'01 Product Master'!A229</f>
        <v>SN-0228</v>
      </c>
      <c r="B229" s="1">
        <f>'01 Product Master'!C229</f>
        <v>0</v>
      </c>
      <c r="C229" s="7" t="str">
        <f>'01 Product Master'!J229</f>
        <v/>
      </c>
      <c r="D229" s="7" t="str">
        <f>'01 Product Master'!K229</f>
        <v/>
      </c>
      <c r="E229" s="7" t="str">
        <f>'01 Product Master'!L229</f>
        <v/>
      </c>
      <c r="F229" s="7" t="str">
        <f>'01 Product Master'!M229</f>
        <v/>
      </c>
      <c r="G229" s="7" t="str">
        <f>'01 Product Master'!N229</f>
        <v/>
      </c>
      <c r="H229" s="7">
        <f>'01 Product Master'!O229</f>
        <v>0</v>
      </c>
      <c r="I229" s="7" t="str">
        <f>'01 Product Master'!P229</f>
        <v/>
      </c>
      <c r="J229" s="2" t="str">
        <f>'01 Product Master'!Q229</f>
        <v/>
      </c>
      <c r="K229" s="1"/>
    </row>
    <row r="230" spans="1:11" ht="16" x14ac:dyDescent="0.2">
      <c r="A230" s="1" t="str">
        <f>'01 Product Master'!A230</f>
        <v>SN-0229</v>
      </c>
      <c r="B230" s="1">
        <f>'01 Product Master'!C230</f>
        <v>0</v>
      </c>
      <c r="C230" s="7" t="str">
        <f>'01 Product Master'!J230</f>
        <v/>
      </c>
      <c r="D230" s="7" t="str">
        <f>'01 Product Master'!K230</f>
        <v/>
      </c>
      <c r="E230" s="7" t="str">
        <f>'01 Product Master'!L230</f>
        <v/>
      </c>
      <c r="F230" s="7" t="str">
        <f>'01 Product Master'!M230</f>
        <v/>
      </c>
      <c r="G230" s="7" t="str">
        <f>'01 Product Master'!N230</f>
        <v/>
      </c>
      <c r="H230" s="7">
        <f>'01 Product Master'!O230</f>
        <v>0</v>
      </c>
      <c r="I230" s="7" t="str">
        <f>'01 Product Master'!P230</f>
        <v/>
      </c>
      <c r="J230" s="2" t="str">
        <f>'01 Product Master'!Q230</f>
        <v/>
      </c>
      <c r="K230" s="1"/>
    </row>
    <row r="231" spans="1:11" ht="16" x14ac:dyDescent="0.2">
      <c r="A231" s="1" t="str">
        <f>'01 Product Master'!A231</f>
        <v>SN-0230</v>
      </c>
      <c r="B231" s="1">
        <f>'01 Product Master'!C231</f>
        <v>0</v>
      </c>
      <c r="C231" s="7" t="str">
        <f>'01 Product Master'!J231</f>
        <v/>
      </c>
      <c r="D231" s="7" t="str">
        <f>'01 Product Master'!K231</f>
        <v/>
      </c>
      <c r="E231" s="7" t="str">
        <f>'01 Product Master'!L231</f>
        <v/>
      </c>
      <c r="F231" s="7" t="str">
        <f>'01 Product Master'!M231</f>
        <v/>
      </c>
      <c r="G231" s="7" t="str">
        <f>'01 Product Master'!N231</f>
        <v/>
      </c>
      <c r="H231" s="7">
        <f>'01 Product Master'!O231</f>
        <v>0</v>
      </c>
      <c r="I231" s="7" t="str">
        <f>'01 Product Master'!P231</f>
        <v/>
      </c>
      <c r="J231" s="2" t="str">
        <f>'01 Product Master'!Q231</f>
        <v/>
      </c>
      <c r="K231" s="1"/>
    </row>
    <row r="232" spans="1:11" ht="16" x14ac:dyDescent="0.2">
      <c r="A232" s="1" t="str">
        <f>'01 Product Master'!A232</f>
        <v>SN-0231</v>
      </c>
      <c r="B232" s="1">
        <f>'01 Product Master'!C232</f>
        <v>0</v>
      </c>
      <c r="C232" s="7" t="str">
        <f>'01 Product Master'!J232</f>
        <v/>
      </c>
      <c r="D232" s="7" t="str">
        <f>'01 Product Master'!K232</f>
        <v/>
      </c>
      <c r="E232" s="7" t="str">
        <f>'01 Product Master'!L232</f>
        <v/>
      </c>
      <c r="F232" s="7" t="str">
        <f>'01 Product Master'!M232</f>
        <v/>
      </c>
      <c r="G232" s="7" t="str">
        <f>'01 Product Master'!N232</f>
        <v/>
      </c>
      <c r="H232" s="7">
        <f>'01 Product Master'!O232</f>
        <v>0</v>
      </c>
      <c r="I232" s="7" t="str">
        <f>'01 Product Master'!P232</f>
        <v/>
      </c>
      <c r="J232" s="2" t="str">
        <f>'01 Product Master'!Q232</f>
        <v/>
      </c>
      <c r="K232" s="1"/>
    </row>
    <row r="233" spans="1:11" ht="16" x14ac:dyDescent="0.2">
      <c r="A233" s="1" t="str">
        <f>'01 Product Master'!A233</f>
        <v>SN-0232</v>
      </c>
      <c r="B233" s="1">
        <f>'01 Product Master'!C233</f>
        <v>0</v>
      </c>
      <c r="C233" s="7" t="str">
        <f>'01 Product Master'!J233</f>
        <v/>
      </c>
      <c r="D233" s="7" t="str">
        <f>'01 Product Master'!K233</f>
        <v/>
      </c>
      <c r="E233" s="7" t="str">
        <f>'01 Product Master'!L233</f>
        <v/>
      </c>
      <c r="F233" s="7" t="str">
        <f>'01 Product Master'!M233</f>
        <v/>
      </c>
      <c r="G233" s="7" t="str">
        <f>'01 Product Master'!N233</f>
        <v/>
      </c>
      <c r="H233" s="7">
        <f>'01 Product Master'!O233</f>
        <v>0</v>
      </c>
      <c r="I233" s="7" t="str">
        <f>'01 Product Master'!P233</f>
        <v/>
      </c>
      <c r="J233" s="2" t="str">
        <f>'01 Product Master'!Q233</f>
        <v/>
      </c>
      <c r="K233" s="1"/>
    </row>
    <row r="234" spans="1:11" ht="16" x14ac:dyDescent="0.2">
      <c r="A234" s="1" t="str">
        <f>'01 Product Master'!A234</f>
        <v>SN-0233</v>
      </c>
      <c r="B234" s="1">
        <f>'01 Product Master'!C234</f>
        <v>0</v>
      </c>
      <c r="C234" s="7" t="str">
        <f>'01 Product Master'!J234</f>
        <v/>
      </c>
      <c r="D234" s="7" t="str">
        <f>'01 Product Master'!K234</f>
        <v/>
      </c>
      <c r="E234" s="7" t="str">
        <f>'01 Product Master'!L234</f>
        <v/>
      </c>
      <c r="F234" s="7" t="str">
        <f>'01 Product Master'!M234</f>
        <v/>
      </c>
      <c r="G234" s="7" t="str">
        <f>'01 Product Master'!N234</f>
        <v/>
      </c>
      <c r="H234" s="7">
        <f>'01 Product Master'!O234</f>
        <v>0</v>
      </c>
      <c r="I234" s="7" t="str">
        <f>'01 Product Master'!P234</f>
        <v/>
      </c>
      <c r="J234" s="2" t="str">
        <f>'01 Product Master'!Q234</f>
        <v/>
      </c>
      <c r="K234" s="1"/>
    </row>
    <row r="235" spans="1:11" ht="16" x14ac:dyDescent="0.2">
      <c r="A235" s="1" t="str">
        <f>'01 Product Master'!A235</f>
        <v>SN-0234</v>
      </c>
      <c r="B235" s="1">
        <f>'01 Product Master'!C235</f>
        <v>0</v>
      </c>
      <c r="C235" s="7" t="str">
        <f>'01 Product Master'!J235</f>
        <v/>
      </c>
      <c r="D235" s="7" t="str">
        <f>'01 Product Master'!K235</f>
        <v/>
      </c>
      <c r="E235" s="7" t="str">
        <f>'01 Product Master'!L235</f>
        <v/>
      </c>
      <c r="F235" s="7" t="str">
        <f>'01 Product Master'!M235</f>
        <v/>
      </c>
      <c r="G235" s="7" t="str">
        <f>'01 Product Master'!N235</f>
        <v/>
      </c>
      <c r="H235" s="7">
        <f>'01 Product Master'!O235</f>
        <v>0</v>
      </c>
      <c r="I235" s="7" t="str">
        <f>'01 Product Master'!P235</f>
        <v/>
      </c>
      <c r="J235" s="2" t="str">
        <f>'01 Product Master'!Q235</f>
        <v/>
      </c>
      <c r="K235" s="1"/>
    </row>
    <row r="236" spans="1:11" ht="16" x14ac:dyDescent="0.2">
      <c r="A236" s="1" t="str">
        <f>'01 Product Master'!A236</f>
        <v>SN-0235</v>
      </c>
      <c r="B236" s="1">
        <f>'01 Product Master'!C236</f>
        <v>0</v>
      </c>
      <c r="C236" s="7" t="str">
        <f>'01 Product Master'!J236</f>
        <v/>
      </c>
      <c r="D236" s="7" t="str">
        <f>'01 Product Master'!K236</f>
        <v/>
      </c>
      <c r="E236" s="7" t="str">
        <f>'01 Product Master'!L236</f>
        <v/>
      </c>
      <c r="F236" s="7" t="str">
        <f>'01 Product Master'!M236</f>
        <v/>
      </c>
      <c r="G236" s="7" t="str">
        <f>'01 Product Master'!N236</f>
        <v/>
      </c>
      <c r="H236" s="7">
        <f>'01 Product Master'!O236</f>
        <v>0</v>
      </c>
      <c r="I236" s="7" t="str">
        <f>'01 Product Master'!P236</f>
        <v/>
      </c>
      <c r="J236" s="2" t="str">
        <f>'01 Product Master'!Q236</f>
        <v/>
      </c>
      <c r="K236" s="1"/>
    </row>
    <row r="237" spans="1:11" ht="16" x14ac:dyDescent="0.2">
      <c r="A237" s="1" t="str">
        <f>'01 Product Master'!A237</f>
        <v>SN-0236</v>
      </c>
      <c r="B237" s="1">
        <f>'01 Product Master'!C237</f>
        <v>0</v>
      </c>
      <c r="C237" s="7" t="str">
        <f>'01 Product Master'!J237</f>
        <v/>
      </c>
      <c r="D237" s="7" t="str">
        <f>'01 Product Master'!K237</f>
        <v/>
      </c>
      <c r="E237" s="7" t="str">
        <f>'01 Product Master'!L237</f>
        <v/>
      </c>
      <c r="F237" s="7" t="str">
        <f>'01 Product Master'!M237</f>
        <v/>
      </c>
      <c r="G237" s="7" t="str">
        <f>'01 Product Master'!N237</f>
        <v/>
      </c>
      <c r="H237" s="7">
        <f>'01 Product Master'!O237</f>
        <v>0</v>
      </c>
      <c r="I237" s="7" t="str">
        <f>'01 Product Master'!P237</f>
        <v/>
      </c>
      <c r="J237" s="2" t="str">
        <f>'01 Product Master'!Q237</f>
        <v/>
      </c>
      <c r="K237" s="1"/>
    </row>
    <row r="238" spans="1:11" ht="16" x14ac:dyDescent="0.2">
      <c r="A238" s="1" t="str">
        <f>'01 Product Master'!A238</f>
        <v>SN-0237</v>
      </c>
      <c r="B238" s="1">
        <f>'01 Product Master'!C238</f>
        <v>0</v>
      </c>
      <c r="C238" s="7" t="str">
        <f>'01 Product Master'!J238</f>
        <v/>
      </c>
      <c r="D238" s="7" t="str">
        <f>'01 Product Master'!K238</f>
        <v/>
      </c>
      <c r="E238" s="7" t="str">
        <f>'01 Product Master'!L238</f>
        <v/>
      </c>
      <c r="F238" s="7" t="str">
        <f>'01 Product Master'!M238</f>
        <v/>
      </c>
      <c r="G238" s="7" t="str">
        <f>'01 Product Master'!N238</f>
        <v/>
      </c>
      <c r="H238" s="7">
        <f>'01 Product Master'!O238</f>
        <v>0</v>
      </c>
      <c r="I238" s="7" t="str">
        <f>'01 Product Master'!P238</f>
        <v/>
      </c>
      <c r="J238" s="2" t="str">
        <f>'01 Product Master'!Q238</f>
        <v/>
      </c>
      <c r="K238" s="1"/>
    </row>
    <row r="239" spans="1:11" ht="16" x14ac:dyDescent="0.2">
      <c r="A239" s="1" t="str">
        <f>'01 Product Master'!A239</f>
        <v>SN-0238</v>
      </c>
      <c r="B239" s="1">
        <f>'01 Product Master'!C239</f>
        <v>0</v>
      </c>
      <c r="C239" s="7" t="str">
        <f>'01 Product Master'!J239</f>
        <v/>
      </c>
      <c r="D239" s="7" t="str">
        <f>'01 Product Master'!K239</f>
        <v/>
      </c>
      <c r="E239" s="7" t="str">
        <f>'01 Product Master'!L239</f>
        <v/>
      </c>
      <c r="F239" s="7" t="str">
        <f>'01 Product Master'!M239</f>
        <v/>
      </c>
      <c r="G239" s="7" t="str">
        <f>'01 Product Master'!N239</f>
        <v/>
      </c>
      <c r="H239" s="7">
        <f>'01 Product Master'!O239</f>
        <v>0</v>
      </c>
      <c r="I239" s="7" t="str">
        <f>'01 Product Master'!P239</f>
        <v/>
      </c>
      <c r="J239" s="2" t="str">
        <f>'01 Product Master'!Q239</f>
        <v/>
      </c>
      <c r="K239" s="1"/>
    </row>
    <row r="240" spans="1:11" ht="16" x14ac:dyDescent="0.2">
      <c r="A240" s="1" t="str">
        <f>'01 Product Master'!A240</f>
        <v>SN-0239</v>
      </c>
      <c r="B240" s="1">
        <f>'01 Product Master'!C240</f>
        <v>0</v>
      </c>
      <c r="C240" s="7" t="str">
        <f>'01 Product Master'!J240</f>
        <v/>
      </c>
      <c r="D240" s="7" t="str">
        <f>'01 Product Master'!K240</f>
        <v/>
      </c>
      <c r="E240" s="7" t="str">
        <f>'01 Product Master'!L240</f>
        <v/>
      </c>
      <c r="F240" s="7" t="str">
        <f>'01 Product Master'!M240</f>
        <v/>
      </c>
      <c r="G240" s="7" t="str">
        <f>'01 Product Master'!N240</f>
        <v/>
      </c>
      <c r="H240" s="7">
        <f>'01 Product Master'!O240</f>
        <v>0</v>
      </c>
      <c r="I240" s="7" t="str">
        <f>'01 Product Master'!P240</f>
        <v/>
      </c>
      <c r="J240" s="2" t="str">
        <f>'01 Product Master'!Q240</f>
        <v/>
      </c>
      <c r="K240" s="1"/>
    </row>
    <row r="241" spans="1:11" ht="16" x14ac:dyDescent="0.2">
      <c r="A241" s="1" t="str">
        <f>'01 Product Master'!A241</f>
        <v>SN-0240</v>
      </c>
      <c r="B241" s="1">
        <f>'01 Product Master'!C241</f>
        <v>0</v>
      </c>
      <c r="C241" s="7" t="str">
        <f>'01 Product Master'!J241</f>
        <v/>
      </c>
      <c r="D241" s="7" t="str">
        <f>'01 Product Master'!K241</f>
        <v/>
      </c>
      <c r="E241" s="7" t="str">
        <f>'01 Product Master'!L241</f>
        <v/>
      </c>
      <c r="F241" s="7" t="str">
        <f>'01 Product Master'!M241</f>
        <v/>
      </c>
      <c r="G241" s="7" t="str">
        <f>'01 Product Master'!N241</f>
        <v/>
      </c>
      <c r="H241" s="7">
        <f>'01 Product Master'!O241</f>
        <v>0</v>
      </c>
      <c r="I241" s="7" t="str">
        <f>'01 Product Master'!P241</f>
        <v/>
      </c>
      <c r="J241" s="2" t="str">
        <f>'01 Product Master'!Q241</f>
        <v/>
      </c>
      <c r="K241" s="1"/>
    </row>
    <row r="242" spans="1:11" ht="16" x14ac:dyDescent="0.2">
      <c r="A242" s="1" t="str">
        <f>'01 Product Master'!A242</f>
        <v>SN-0241</v>
      </c>
      <c r="B242" s="1">
        <f>'01 Product Master'!C242</f>
        <v>0</v>
      </c>
      <c r="C242" s="7" t="str">
        <f>'01 Product Master'!J242</f>
        <v/>
      </c>
      <c r="D242" s="7" t="str">
        <f>'01 Product Master'!K242</f>
        <v/>
      </c>
      <c r="E242" s="7" t="str">
        <f>'01 Product Master'!L242</f>
        <v/>
      </c>
      <c r="F242" s="7" t="str">
        <f>'01 Product Master'!M242</f>
        <v/>
      </c>
      <c r="G242" s="7" t="str">
        <f>'01 Product Master'!N242</f>
        <v/>
      </c>
      <c r="H242" s="7">
        <f>'01 Product Master'!O242</f>
        <v>0</v>
      </c>
      <c r="I242" s="7" t="str">
        <f>'01 Product Master'!P242</f>
        <v/>
      </c>
      <c r="J242" s="2" t="str">
        <f>'01 Product Master'!Q242</f>
        <v/>
      </c>
      <c r="K242" s="1"/>
    </row>
    <row r="243" spans="1:11" ht="16" x14ac:dyDescent="0.2">
      <c r="A243" s="1" t="str">
        <f>'01 Product Master'!A243</f>
        <v>SN-0242</v>
      </c>
      <c r="B243" s="1">
        <f>'01 Product Master'!C243</f>
        <v>0</v>
      </c>
      <c r="C243" s="7" t="str">
        <f>'01 Product Master'!J243</f>
        <v/>
      </c>
      <c r="D243" s="7" t="str">
        <f>'01 Product Master'!K243</f>
        <v/>
      </c>
      <c r="E243" s="7" t="str">
        <f>'01 Product Master'!L243</f>
        <v/>
      </c>
      <c r="F243" s="7" t="str">
        <f>'01 Product Master'!M243</f>
        <v/>
      </c>
      <c r="G243" s="7" t="str">
        <f>'01 Product Master'!N243</f>
        <v/>
      </c>
      <c r="H243" s="7">
        <f>'01 Product Master'!O243</f>
        <v>0</v>
      </c>
      <c r="I243" s="7" t="str">
        <f>'01 Product Master'!P243</f>
        <v/>
      </c>
      <c r="J243" s="2" t="str">
        <f>'01 Product Master'!Q243</f>
        <v/>
      </c>
      <c r="K243" s="1"/>
    </row>
    <row r="244" spans="1:11" ht="16" x14ac:dyDescent="0.2">
      <c r="A244" s="1" t="str">
        <f>'01 Product Master'!A244</f>
        <v>SN-0243</v>
      </c>
      <c r="B244" s="1">
        <f>'01 Product Master'!C244</f>
        <v>0</v>
      </c>
      <c r="C244" s="7" t="str">
        <f>'01 Product Master'!J244</f>
        <v/>
      </c>
      <c r="D244" s="7" t="str">
        <f>'01 Product Master'!K244</f>
        <v/>
      </c>
      <c r="E244" s="7" t="str">
        <f>'01 Product Master'!L244</f>
        <v/>
      </c>
      <c r="F244" s="7" t="str">
        <f>'01 Product Master'!M244</f>
        <v/>
      </c>
      <c r="G244" s="7" t="str">
        <f>'01 Product Master'!N244</f>
        <v/>
      </c>
      <c r="H244" s="7">
        <f>'01 Product Master'!O244</f>
        <v>0</v>
      </c>
      <c r="I244" s="7" t="str">
        <f>'01 Product Master'!P244</f>
        <v/>
      </c>
      <c r="J244" s="2" t="str">
        <f>'01 Product Master'!Q244</f>
        <v/>
      </c>
      <c r="K244" s="1"/>
    </row>
    <row r="245" spans="1:11" ht="16" x14ac:dyDescent="0.2">
      <c r="A245" s="1" t="str">
        <f>'01 Product Master'!A245</f>
        <v>SN-0244</v>
      </c>
      <c r="B245" s="1">
        <f>'01 Product Master'!C245</f>
        <v>0</v>
      </c>
      <c r="C245" s="7" t="str">
        <f>'01 Product Master'!J245</f>
        <v/>
      </c>
      <c r="D245" s="7" t="str">
        <f>'01 Product Master'!K245</f>
        <v/>
      </c>
      <c r="E245" s="7" t="str">
        <f>'01 Product Master'!L245</f>
        <v/>
      </c>
      <c r="F245" s="7" t="str">
        <f>'01 Product Master'!M245</f>
        <v/>
      </c>
      <c r="G245" s="7" t="str">
        <f>'01 Product Master'!N245</f>
        <v/>
      </c>
      <c r="H245" s="7">
        <f>'01 Product Master'!O245</f>
        <v>0</v>
      </c>
      <c r="I245" s="7" t="str">
        <f>'01 Product Master'!P245</f>
        <v/>
      </c>
      <c r="J245" s="2" t="str">
        <f>'01 Product Master'!Q245</f>
        <v/>
      </c>
      <c r="K245" s="1"/>
    </row>
    <row r="246" spans="1:11" ht="16" x14ac:dyDescent="0.2">
      <c r="A246" s="1" t="str">
        <f>'01 Product Master'!A246</f>
        <v>SN-0245</v>
      </c>
      <c r="B246" s="1">
        <f>'01 Product Master'!C246</f>
        <v>0</v>
      </c>
      <c r="C246" s="7" t="str">
        <f>'01 Product Master'!J246</f>
        <v/>
      </c>
      <c r="D246" s="7" t="str">
        <f>'01 Product Master'!K246</f>
        <v/>
      </c>
      <c r="E246" s="7" t="str">
        <f>'01 Product Master'!L246</f>
        <v/>
      </c>
      <c r="F246" s="7" t="str">
        <f>'01 Product Master'!M246</f>
        <v/>
      </c>
      <c r="G246" s="7" t="str">
        <f>'01 Product Master'!N246</f>
        <v/>
      </c>
      <c r="H246" s="7">
        <f>'01 Product Master'!O246</f>
        <v>0</v>
      </c>
      <c r="I246" s="7" t="str">
        <f>'01 Product Master'!P246</f>
        <v/>
      </c>
      <c r="J246" s="2" t="str">
        <f>'01 Product Master'!Q246</f>
        <v/>
      </c>
      <c r="K246" s="1"/>
    </row>
    <row r="247" spans="1:11" ht="16" x14ac:dyDescent="0.2">
      <c r="A247" s="1" t="str">
        <f>'01 Product Master'!A247</f>
        <v>SN-0246</v>
      </c>
      <c r="B247" s="1">
        <f>'01 Product Master'!C247</f>
        <v>0</v>
      </c>
      <c r="C247" s="7" t="str">
        <f>'01 Product Master'!J247</f>
        <v/>
      </c>
      <c r="D247" s="7" t="str">
        <f>'01 Product Master'!K247</f>
        <v/>
      </c>
      <c r="E247" s="7" t="str">
        <f>'01 Product Master'!L247</f>
        <v/>
      </c>
      <c r="F247" s="7" t="str">
        <f>'01 Product Master'!M247</f>
        <v/>
      </c>
      <c r="G247" s="7" t="str">
        <f>'01 Product Master'!N247</f>
        <v/>
      </c>
      <c r="H247" s="7">
        <f>'01 Product Master'!O247</f>
        <v>0</v>
      </c>
      <c r="I247" s="7" t="str">
        <f>'01 Product Master'!P247</f>
        <v/>
      </c>
      <c r="J247" s="2" t="str">
        <f>'01 Product Master'!Q247</f>
        <v/>
      </c>
      <c r="K247" s="1"/>
    </row>
    <row r="248" spans="1:11" ht="16" x14ac:dyDescent="0.2">
      <c r="A248" s="1" t="str">
        <f>'01 Product Master'!A248</f>
        <v>SN-0247</v>
      </c>
      <c r="B248" s="1">
        <f>'01 Product Master'!C248</f>
        <v>0</v>
      </c>
      <c r="C248" s="7" t="str">
        <f>'01 Product Master'!J248</f>
        <v/>
      </c>
      <c r="D248" s="7" t="str">
        <f>'01 Product Master'!K248</f>
        <v/>
      </c>
      <c r="E248" s="7" t="str">
        <f>'01 Product Master'!L248</f>
        <v/>
      </c>
      <c r="F248" s="7" t="str">
        <f>'01 Product Master'!M248</f>
        <v/>
      </c>
      <c r="G248" s="7" t="str">
        <f>'01 Product Master'!N248</f>
        <v/>
      </c>
      <c r="H248" s="7">
        <f>'01 Product Master'!O248</f>
        <v>0</v>
      </c>
      <c r="I248" s="7" t="str">
        <f>'01 Product Master'!P248</f>
        <v/>
      </c>
      <c r="J248" s="2" t="str">
        <f>'01 Product Master'!Q248</f>
        <v/>
      </c>
      <c r="K248" s="1"/>
    </row>
    <row r="249" spans="1:11" ht="16" x14ac:dyDescent="0.2">
      <c r="A249" s="1" t="str">
        <f>'01 Product Master'!A249</f>
        <v>SN-0248</v>
      </c>
      <c r="B249" s="1">
        <f>'01 Product Master'!C249</f>
        <v>0</v>
      </c>
      <c r="C249" s="7" t="str">
        <f>'01 Product Master'!J249</f>
        <v/>
      </c>
      <c r="D249" s="7" t="str">
        <f>'01 Product Master'!K249</f>
        <v/>
      </c>
      <c r="E249" s="7" t="str">
        <f>'01 Product Master'!L249</f>
        <v/>
      </c>
      <c r="F249" s="7" t="str">
        <f>'01 Product Master'!M249</f>
        <v/>
      </c>
      <c r="G249" s="7" t="str">
        <f>'01 Product Master'!N249</f>
        <v/>
      </c>
      <c r="H249" s="7">
        <f>'01 Product Master'!O249</f>
        <v>0</v>
      </c>
      <c r="I249" s="7" t="str">
        <f>'01 Product Master'!P249</f>
        <v/>
      </c>
      <c r="J249" s="2" t="str">
        <f>'01 Product Master'!Q249</f>
        <v/>
      </c>
      <c r="K249" s="1"/>
    </row>
    <row r="250" spans="1:11" ht="16" x14ac:dyDescent="0.2">
      <c r="A250" s="1" t="str">
        <f>'01 Product Master'!A250</f>
        <v>SN-0249</v>
      </c>
      <c r="B250" s="1">
        <f>'01 Product Master'!C250</f>
        <v>0</v>
      </c>
      <c r="C250" s="7" t="str">
        <f>'01 Product Master'!J250</f>
        <v/>
      </c>
      <c r="D250" s="7" t="str">
        <f>'01 Product Master'!K250</f>
        <v/>
      </c>
      <c r="E250" s="7" t="str">
        <f>'01 Product Master'!L250</f>
        <v/>
      </c>
      <c r="F250" s="7" t="str">
        <f>'01 Product Master'!M250</f>
        <v/>
      </c>
      <c r="G250" s="7" t="str">
        <f>'01 Product Master'!N250</f>
        <v/>
      </c>
      <c r="H250" s="7">
        <f>'01 Product Master'!O250</f>
        <v>0</v>
      </c>
      <c r="I250" s="7" t="str">
        <f>'01 Product Master'!P250</f>
        <v/>
      </c>
      <c r="J250" s="2" t="str">
        <f>'01 Product Master'!Q250</f>
        <v/>
      </c>
      <c r="K250" s="1"/>
    </row>
    <row r="251" spans="1:11" ht="16" x14ac:dyDescent="0.2">
      <c r="A251" s="1" t="str">
        <f>'01 Product Master'!A251</f>
        <v>SN-0250</v>
      </c>
      <c r="B251" s="1">
        <f>'01 Product Master'!C251</f>
        <v>0</v>
      </c>
      <c r="C251" s="7" t="str">
        <f>'01 Product Master'!J251</f>
        <v/>
      </c>
      <c r="D251" s="7" t="str">
        <f>'01 Product Master'!K251</f>
        <v/>
      </c>
      <c r="E251" s="7" t="str">
        <f>'01 Product Master'!L251</f>
        <v/>
      </c>
      <c r="F251" s="7" t="str">
        <f>'01 Product Master'!M251</f>
        <v/>
      </c>
      <c r="G251" s="7" t="str">
        <f>'01 Product Master'!N251</f>
        <v/>
      </c>
      <c r="H251" s="7">
        <f>'01 Product Master'!O251</f>
        <v>0</v>
      </c>
      <c r="I251" s="7" t="str">
        <f>'01 Product Master'!P251</f>
        <v/>
      </c>
      <c r="J251" s="2" t="str">
        <f>'01 Product Master'!Q251</f>
        <v/>
      </c>
      <c r="K251" s="1"/>
    </row>
    <row r="252" spans="1:11" ht="16" x14ac:dyDescent="0.2">
      <c r="A252" s="1" t="str">
        <f>'01 Product Master'!A252</f>
        <v>SN-0251</v>
      </c>
      <c r="B252" s="1">
        <f>'01 Product Master'!C252</f>
        <v>0</v>
      </c>
      <c r="C252" s="7" t="str">
        <f>'01 Product Master'!J252</f>
        <v/>
      </c>
      <c r="D252" s="7" t="str">
        <f>'01 Product Master'!K252</f>
        <v/>
      </c>
      <c r="E252" s="7" t="str">
        <f>'01 Product Master'!L252</f>
        <v/>
      </c>
      <c r="F252" s="7" t="str">
        <f>'01 Product Master'!M252</f>
        <v/>
      </c>
      <c r="G252" s="7" t="str">
        <f>'01 Product Master'!N252</f>
        <v/>
      </c>
      <c r="H252" s="7">
        <f>'01 Product Master'!O252</f>
        <v>0</v>
      </c>
      <c r="I252" s="7" t="str">
        <f>'01 Product Master'!P252</f>
        <v/>
      </c>
      <c r="J252" s="2" t="str">
        <f>'01 Product Master'!Q252</f>
        <v/>
      </c>
      <c r="K252" s="1"/>
    </row>
    <row r="253" spans="1:11" ht="16" x14ac:dyDescent="0.2">
      <c r="A253" s="1" t="str">
        <f>'01 Product Master'!A253</f>
        <v>SN-0252</v>
      </c>
      <c r="B253" s="1">
        <f>'01 Product Master'!C253</f>
        <v>0</v>
      </c>
      <c r="C253" s="7" t="str">
        <f>'01 Product Master'!J253</f>
        <v/>
      </c>
      <c r="D253" s="7" t="str">
        <f>'01 Product Master'!K253</f>
        <v/>
      </c>
      <c r="E253" s="7" t="str">
        <f>'01 Product Master'!L253</f>
        <v/>
      </c>
      <c r="F253" s="7" t="str">
        <f>'01 Product Master'!M253</f>
        <v/>
      </c>
      <c r="G253" s="7" t="str">
        <f>'01 Product Master'!N253</f>
        <v/>
      </c>
      <c r="H253" s="7">
        <f>'01 Product Master'!O253</f>
        <v>0</v>
      </c>
      <c r="I253" s="7" t="str">
        <f>'01 Product Master'!P253</f>
        <v/>
      </c>
      <c r="J253" s="2" t="str">
        <f>'01 Product Master'!Q253</f>
        <v/>
      </c>
      <c r="K253" s="1"/>
    </row>
    <row r="254" spans="1:11" ht="16" x14ac:dyDescent="0.2">
      <c r="A254" s="1" t="str">
        <f>'01 Product Master'!A254</f>
        <v>SN-0253</v>
      </c>
      <c r="B254" s="1">
        <f>'01 Product Master'!C254</f>
        <v>0</v>
      </c>
      <c r="C254" s="7" t="str">
        <f>'01 Product Master'!J254</f>
        <v/>
      </c>
      <c r="D254" s="7" t="str">
        <f>'01 Product Master'!K254</f>
        <v/>
      </c>
      <c r="E254" s="7" t="str">
        <f>'01 Product Master'!L254</f>
        <v/>
      </c>
      <c r="F254" s="7" t="str">
        <f>'01 Product Master'!M254</f>
        <v/>
      </c>
      <c r="G254" s="7" t="str">
        <f>'01 Product Master'!N254</f>
        <v/>
      </c>
      <c r="H254" s="7">
        <f>'01 Product Master'!O254</f>
        <v>0</v>
      </c>
      <c r="I254" s="7" t="str">
        <f>'01 Product Master'!P254</f>
        <v/>
      </c>
      <c r="J254" s="2" t="str">
        <f>'01 Product Master'!Q254</f>
        <v/>
      </c>
      <c r="K254" s="1"/>
    </row>
    <row r="255" spans="1:11" ht="16" x14ac:dyDescent="0.2">
      <c r="A255" s="1" t="str">
        <f>'01 Product Master'!A255</f>
        <v>SN-0254</v>
      </c>
      <c r="B255" s="1">
        <f>'01 Product Master'!C255</f>
        <v>0</v>
      </c>
      <c r="C255" s="7" t="str">
        <f>'01 Product Master'!J255</f>
        <v/>
      </c>
      <c r="D255" s="7" t="str">
        <f>'01 Product Master'!K255</f>
        <v/>
      </c>
      <c r="E255" s="7" t="str">
        <f>'01 Product Master'!L255</f>
        <v/>
      </c>
      <c r="F255" s="7" t="str">
        <f>'01 Product Master'!M255</f>
        <v/>
      </c>
      <c r="G255" s="7" t="str">
        <f>'01 Product Master'!N255</f>
        <v/>
      </c>
      <c r="H255" s="7">
        <f>'01 Product Master'!O255</f>
        <v>0</v>
      </c>
      <c r="I255" s="7" t="str">
        <f>'01 Product Master'!P255</f>
        <v/>
      </c>
      <c r="J255" s="2" t="str">
        <f>'01 Product Master'!Q255</f>
        <v/>
      </c>
      <c r="K255" s="1"/>
    </row>
    <row r="256" spans="1:11" ht="16" x14ac:dyDescent="0.2">
      <c r="A256" s="1" t="str">
        <f>'01 Product Master'!A256</f>
        <v>SN-0255</v>
      </c>
      <c r="B256" s="1">
        <f>'01 Product Master'!C256</f>
        <v>0</v>
      </c>
      <c r="C256" s="7" t="str">
        <f>'01 Product Master'!J256</f>
        <v/>
      </c>
      <c r="D256" s="7" t="str">
        <f>'01 Product Master'!K256</f>
        <v/>
      </c>
      <c r="E256" s="7" t="str">
        <f>'01 Product Master'!L256</f>
        <v/>
      </c>
      <c r="F256" s="7" t="str">
        <f>'01 Product Master'!M256</f>
        <v/>
      </c>
      <c r="G256" s="7" t="str">
        <f>'01 Product Master'!N256</f>
        <v/>
      </c>
      <c r="H256" s="7">
        <f>'01 Product Master'!O256</f>
        <v>0</v>
      </c>
      <c r="I256" s="7" t="str">
        <f>'01 Product Master'!P256</f>
        <v/>
      </c>
      <c r="J256" s="2" t="str">
        <f>'01 Product Master'!Q256</f>
        <v/>
      </c>
      <c r="K256" s="1"/>
    </row>
    <row r="257" spans="1:11" ht="16" x14ac:dyDescent="0.2">
      <c r="A257" s="1" t="str">
        <f>'01 Product Master'!A257</f>
        <v>SN-0256</v>
      </c>
      <c r="B257" s="1">
        <f>'01 Product Master'!C257</f>
        <v>0</v>
      </c>
      <c r="C257" s="7" t="str">
        <f>'01 Product Master'!J257</f>
        <v/>
      </c>
      <c r="D257" s="7" t="str">
        <f>'01 Product Master'!K257</f>
        <v/>
      </c>
      <c r="E257" s="7" t="str">
        <f>'01 Product Master'!L257</f>
        <v/>
      </c>
      <c r="F257" s="7" t="str">
        <f>'01 Product Master'!M257</f>
        <v/>
      </c>
      <c r="G257" s="7" t="str">
        <f>'01 Product Master'!N257</f>
        <v/>
      </c>
      <c r="H257" s="7">
        <f>'01 Product Master'!O257</f>
        <v>0</v>
      </c>
      <c r="I257" s="7" t="str">
        <f>'01 Product Master'!P257</f>
        <v/>
      </c>
      <c r="J257" s="2" t="str">
        <f>'01 Product Master'!Q257</f>
        <v/>
      </c>
      <c r="K257" s="1"/>
    </row>
    <row r="258" spans="1:11" ht="16" x14ac:dyDescent="0.2">
      <c r="A258" s="1" t="str">
        <f>'01 Product Master'!A258</f>
        <v>SN-0257</v>
      </c>
      <c r="B258" s="1">
        <f>'01 Product Master'!C258</f>
        <v>0</v>
      </c>
      <c r="C258" s="7" t="str">
        <f>'01 Product Master'!J258</f>
        <v/>
      </c>
      <c r="D258" s="7" t="str">
        <f>'01 Product Master'!K258</f>
        <v/>
      </c>
      <c r="E258" s="7" t="str">
        <f>'01 Product Master'!L258</f>
        <v/>
      </c>
      <c r="F258" s="7" t="str">
        <f>'01 Product Master'!M258</f>
        <v/>
      </c>
      <c r="G258" s="7" t="str">
        <f>'01 Product Master'!N258</f>
        <v/>
      </c>
      <c r="H258" s="7">
        <f>'01 Product Master'!O258</f>
        <v>0</v>
      </c>
      <c r="I258" s="7" t="str">
        <f>'01 Product Master'!P258</f>
        <v/>
      </c>
      <c r="J258" s="2" t="str">
        <f>'01 Product Master'!Q258</f>
        <v/>
      </c>
      <c r="K258" s="1"/>
    </row>
    <row r="259" spans="1:11" ht="16" x14ac:dyDescent="0.2">
      <c r="A259" s="1" t="str">
        <f>'01 Product Master'!A259</f>
        <v>SN-0258</v>
      </c>
      <c r="B259" s="1">
        <f>'01 Product Master'!C259</f>
        <v>0</v>
      </c>
      <c r="C259" s="7" t="str">
        <f>'01 Product Master'!J259</f>
        <v/>
      </c>
      <c r="D259" s="7" t="str">
        <f>'01 Product Master'!K259</f>
        <v/>
      </c>
      <c r="E259" s="7" t="str">
        <f>'01 Product Master'!L259</f>
        <v/>
      </c>
      <c r="F259" s="7" t="str">
        <f>'01 Product Master'!M259</f>
        <v/>
      </c>
      <c r="G259" s="7" t="str">
        <f>'01 Product Master'!N259</f>
        <v/>
      </c>
      <c r="H259" s="7">
        <f>'01 Product Master'!O259</f>
        <v>0</v>
      </c>
      <c r="I259" s="7" t="str">
        <f>'01 Product Master'!P259</f>
        <v/>
      </c>
      <c r="J259" s="2" t="str">
        <f>'01 Product Master'!Q259</f>
        <v/>
      </c>
      <c r="K259" s="1"/>
    </row>
    <row r="260" spans="1:11" ht="16" x14ac:dyDescent="0.2">
      <c r="A260" s="1" t="str">
        <f>'01 Product Master'!A260</f>
        <v>SN-0259</v>
      </c>
      <c r="B260" s="1">
        <f>'01 Product Master'!C260</f>
        <v>0</v>
      </c>
      <c r="C260" s="7" t="str">
        <f>'01 Product Master'!J260</f>
        <v/>
      </c>
      <c r="D260" s="7" t="str">
        <f>'01 Product Master'!K260</f>
        <v/>
      </c>
      <c r="E260" s="7" t="str">
        <f>'01 Product Master'!L260</f>
        <v/>
      </c>
      <c r="F260" s="7" t="str">
        <f>'01 Product Master'!M260</f>
        <v/>
      </c>
      <c r="G260" s="7" t="str">
        <f>'01 Product Master'!N260</f>
        <v/>
      </c>
      <c r="H260" s="7">
        <f>'01 Product Master'!O260</f>
        <v>0</v>
      </c>
      <c r="I260" s="7" t="str">
        <f>'01 Product Master'!P260</f>
        <v/>
      </c>
      <c r="J260" s="2" t="str">
        <f>'01 Product Master'!Q260</f>
        <v/>
      </c>
      <c r="K260" s="1"/>
    </row>
    <row r="261" spans="1:11" ht="16" x14ac:dyDescent="0.2">
      <c r="A261" s="1" t="str">
        <f>'01 Product Master'!A261</f>
        <v>SN-0260</v>
      </c>
      <c r="B261" s="1">
        <f>'01 Product Master'!C261</f>
        <v>0</v>
      </c>
      <c r="C261" s="7" t="str">
        <f>'01 Product Master'!J261</f>
        <v/>
      </c>
      <c r="D261" s="7" t="str">
        <f>'01 Product Master'!K261</f>
        <v/>
      </c>
      <c r="E261" s="7" t="str">
        <f>'01 Product Master'!L261</f>
        <v/>
      </c>
      <c r="F261" s="7" t="str">
        <f>'01 Product Master'!M261</f>
        <v/>
      </c>
      <c r="G261" s="7" t="str">
        <f>'01 Product Master'!N261</f>
        <v/>
      </c>
      <c r="H261" s="7">
        <f>'01 Product Master'!O261</f>
        <v>0</v>
      </c>
      <c r="I261" s="7" t="str">
        <f>'01 Product Master'!P261</f>
        <v/>
      </c>
      <c r="J261" s="2" t="str">
        <f>'01 Product Master'!Q261</f>
        <v/>
      </c>
      <c r="K261" s="1"/>
    </row>
    <row r="262" spans="1:11" ht="16" x14ac:dyDescent="0.2">
      <c r="A262" s="1" t="str">
        <f>'01 Product Master'!A262</f>
        <v>SN-0261</v>
      </c>
      <c r="B262" s="1">
        <f>'01 Product Master'!C262</f>
        <v>0</v>
      </c>
      <c r="C262" s="7" t="str">
        <f>'01 Product Master'!J262</f>
        <v/>
      </c>
      <c r="D262" s="7" t="str">
        <f>'01 Product Master'!K262</f>
        <v/>
      </c>
      <c r="E262" s="7" t="str">
        <f>'01 Product Master'!L262</f>
        <v/>
      </c>
      <c r="F262" s="7" t="str">
        <f>'01 Product Master'!M262</f>
        <v/>
      </c>
      <c r="G262" s="7" t="str">
        <f>'01 Product Master'!N262</f>
        <v/>
      </c>
      <c r="H262" s="7">
        <f>'01 Product Master'!O262</f>
        <v>0</v>
      </c>
      <c r="I262" s="7" t="str">
        <f>'01 Product Master'!P262</f>
        <v/>
      </c>
      <c r="J262" s="2" t="str">
        <f>'01 Product Master'!Q262</f>
        <v/>
      </c>
      <c r="K262" s="1"/>
    </row>
    <row r="263" spans="1:11" ht="16" x14ac:dyDescent="0.2">
      <c r="A263" s="1" t="str">
        <f>'01 Product Master'!A263</f>
        <v>SN-0262</v>
      </c>
      <c r="B263" s="1">
        <f>'01 Product Master'!C263</f>
        <v>0</v>
      </c>
      <c r="C263" s="7" t="str">
        <f>'01 Product Master'!J263</f>
        <v/>
      </c>
      <c r="D263" s="7" t="str">
        <f>'01 Product Master'!K263</f>
        <v/>
      </c>
      <c r="E263" s="7" t="str">
        <f>'01 Product Master'!L263</f>
        <v/>
      </c>
      <c r="F263" s="7" t="str">
        <f>'01 Product Master'!M263</f>
        <v/>
      </c>
      <c r="G263" s="7" t="str">
        <f>'01 Product Master'!N263</f>
        <v/>
      </c>
      <c r="H263" s="7">
        <f>'01 Product Master'!O263</f>
        <v>0</v>
      </c>
      <c r="I263" s="7" t="str">
        <f>'01 Product Master'!P263</f>
        <v/>
      </c>
      <c r="J263" s="2" t="str">
        <f>'01 Product Master'!Q263</f>
        <v/>
      </c>
      <c r="K263" s="1"/>
    </row>
    <row r="264" spans="1:11" ht="16" x14ac:dyDescent="0.2">
      <c r="A264" s="1" t="str">
        <f>'01 Product Master'!A264</f>
        <v>SN-0263</v>
      </c>
      <c r="B264" s="1">
        <f>'01 Product Master'!C264</f>
        <v>0</v>
      </c>
      <c r="C264" s="7" t="str">
        <f>'01 Product Master'!J264</f>
        <v/>
      </c>
      <c r="D264" s="7" t="str">
        <f>'01 Product Master'!K264</f>
        <v/>
      </c>
      <c r="E264" s="7" t="str">
        <f>'01 Product Master'!L264</f>
        <v/>
      </c>
      <c r="F264" s="7" t="str">
        <f>'01 Product Master'!M264</f>
        <v/>
      </c>
      <c r="G264" s="7" t="str">
        <f>'01 Product Master'!N264</f>
        <v/>
      </c>
      <c r="H264" s="7">
        <f>'01 Product Master'!O264</f>
        <v>0</v>
      </c>
      <c r="I264" s="7" t="str">
        <f>'01 Product Master'!P264</f>
        <v/>
      </c>
      <c r="J264" s="2" t="str">
        <f>'01 Product Master'!Q264</f>
        <v/>
      </c>
      <c r="K264" s="1"/>
    </row>
    <row r="265" spans="1:11" ht="16" x14ac:dyDescent="0.2">
      <c r="A265" s="1" t="str">
        <f>'01 Product Master'!A265</f>
        <v>SN-0264</v>
      </c>
      <c r="B265" s="1">
        <f>'01 Product Master'!C265</f>
        <v>0</v>
      </c>
      <c r="C265" s="7" t="str">
        <f>'01 Product Master'!J265</f>
        <v/>
      </c>
      <c r="D265" s="7" t="str">
        <f>'01 Product Master'!K265</f>
        <v/>
      </c>
      <c r="E265" s="7" t="str">
        <f>'01 Product Master'!L265</f>
        <v/>
      </c>
      <c r="F265" s="7" t="str">
        <f>'01 Product Master'!M265</f>
        <v/>
      </c>
      <c r="G265" s="7" t="str">
        <f>'01 Product Master'!N265</f>
        <v/>
      </c>
      <c r="H265" s="7">
        <f>'01 Product Master'!O265</f>
        <v>0</v>
      </c>
      <c r="I265" s="7" t="str">
        <f>'01 Product Master'!P265</f>
        <v/>
      </c>
      <c r="J265" s="2" t="str">
        <f>'01 Product Master'!Q265</f>
        <v/>
      </c>
      <c r="K265" s="1"/>
    </row>
    <row r="266" spans="1:11" ht="16" x14ac:dyDescent="0.2">
      <c r="A266" s="1" t="str">
        <f>'01 Product Master'!A266</f>
        <v>SN-0265</v>
      </c>
      <c r="B266" s="1">
        <f>'01 Product Master'!C266</f>
        <v>0</v>
      </c>
      <c r="C266" s="7" t="str">
        <f>'01 Product Master'!J266</f>
        <v/>
      </c>
      <c r="D266" s="7" t="str">
        <f>'01 Product Master'!K266</f>
        <v/>
      </c>
      <c r="E266" s="7" t="str">
        <f>'01 Product Master'!L266</f>
        <v/>
      </c>
      <c r="F266" s="7" t="str">
        <f>'01 Product Master'!M266</f>
        <v/>
      </c>
      <c r="G266" s="7" t="str">
        <f>'01 Product Master'!N266</f>
        <v/>
      </c>
      <c r="H266" s="7">
        <f>'01 Product Master'!O266</f>
        <v>0</v>
      </c>
      <c r="I266" s="7" t="str">
        <f>'01 Product Master'!P266</f>
        <v/>
      </c>
      <c r="J266" s="2" t="str">
        <f>'01 Product Master'!Q266</f>
        <v/>
      </c>
      <c r="K266" s="1"/>
    </row>
    <row r="267" spans="1:11" ht="16" x14ac:dyDescent="0.2">
      <c r="A267" s="1" t="str">
        <f>'01 Product Master'!A267</f>
        <v>SN-0266</v>
      </c>
      <c r="B267" s="1">
        <f>'01 Product Master'!C267</f>
        <v>0</v>
      </c>
      <c r="C267" s="7" t="str">
        <f>'01 Product Master'!J267</f>
        <v/>
      </c>
      <c r="D267" s="7" t="str">
        <f>'01 Product Master'!K267</f>
        <v/>
      </c>
      <c r="E267" s="7" t="str">
        <f>'01 Product Master'!L267</f>
        <v/>
      </c>
      <c r="F267" s="7" t="str">
        <f>'01 Product Master'!M267</f>
        <v/>
      </c>
      <c r="G267" s="7" t="str">
        <f>'01 Product Master'!N267</f>
        <v/>
      </c>
      <c r="H267" s="7">
        <f>'01 Product Master'!O267</f>
        <v>0</v>
      </c>
      <c r="I267" s="7" t="str">
        <f>'01 Product Master'!P267</f>
        <v/>
      </c>
      <c r="J267" s="2" t="str">
        <f>'01 Product Master'!Q267</f>
        <v/>
      </c>
      <c r="K267" s="1"/>
    </row>
    <row r="268" spans="1:11" ht="16" x14ac:dyDescent="0.2">
      <c r="A268" s="1" t="str">
        <f>'01 Product Master'!A268</f>
        <v>SN-0267</v>
      </c>
      <c r="B268" s="1">
        <f>'01 Product Master'!C268</f>
        <v>0</v>
      </c>
      <c r="C268" s="7" t="str">
        <f>'01 Product Master'!J268</f>
        <v/>
      </c>
      <c r="D268" s="7" t="str">
        <f>'01 Product Master'!K268</f>
        <v/>
      </c>
      <c r="E268" s="7" t="str">
        <f>'01 Product Master'!L268</f>
        <v/>
      </c>
      <c r="F268" s="7" t="str">
        <f>'01 Product Master'!M268</f>
        <v/>
      </c>
      <c r="G268" s="7" t="str">
        <f>'01 Product Master'!N268</f>
        <v/>
      </c>
      <c r="H268" s="7">
        <f>'01 Product Master'!O268</f>
        <v>0</v>
      </c>
      <c r="I268" s="7" t="str">
        <f>'01 Product Master'!P268</f>
        <v/>
      </c>
      <c r="J268" s="2" t="str">
        <f>'01 Product Master'!Q268</f>
        <v/>
      </c>
      <c r="K268" s="1"/>
    </row>
    <row r="269" spans="1:11" ht="16" x14ac:dyDescent="0.2">
      <c r="A269" s="1" t="str">
        <f>'01 Product Master'!A269</f>
        <v>SN-0268</v>
      </c>
      <c r="B269" s="1">
        <f>'01 Product Master'!C269</f>
        <v>0</v>
      </c>
      <c r="C269" s="7" t="str">
        <f>'01 Product Master'!J269</f>
        <v/>
      </c>
      <c r="D269" s="7" t="str">
        <f>'01 Product Master'!K269</f>
        <v/>
      </c>
      <c r="E269" s="7" t="str">
        <f>'01 Product Master'!L269</f>
        <v/>
      </c>
      <c r="F269" s="7" t="str">
        <f>'01 Product Master'!M269</f>
        <v/>
      </c>
      <c r="G269" s="7" t="str">
        <f>'01 Product Master'!N269</f>
        <v/>
      </c>
      <c r="H269" s="7">
        <f>'01 Product Master'!O269</f>
        <v>0</v>
      </c>
      <c r="I269" s="7" t="str">
        <f>'01 Product Master'!P269</f>
        <v/>
      </c>
      <c r="J269" s="2" t="str">
        <f>'01 Product Master'!Q269</f>
        <v/>
      </c>
      <c r="K269" s="1"/>
    </row>
    <row r="270" spans="1:11" ht="16" x14ac:dyDescent="0.2">
      <c r="A270" s="1" t="str">
        <f>'01 Product Master'!A270</f>
        <v>SN-0269</v>
      </c>
      <c r="B270" s="1">
        <f>'01 Product Master'!C270</f>
        <v>0</v>
      </c>
      <c r="C270" s="7" t="str">
        <f>'01 Product Master'!J270</f>
        <v/>
      </c>
      <c r="D270" s="7" t="str">
        <f>'01 Product Master'!K270</f>
        <v/>
      </c>
      <c r="E270" s="7" t="str">
        <f>'01 Product Master'!L270</f>
        <v/>
      </c>
      <c r="F270" s="7" t="str">
        <f>'01 Product Master'!M270</f>
        <v/>
      </c>
      <c r="G270" s="7" t="str">
        <f>'01 Product Master'!N270</f>
        <v/>
      </c>
      <c r="H270" s="7">
        <f>'01 Product Master'!O270</f>
        <v>0</v>
      </c>
      <c r="I270" s="7" t="str">
        <f>'01 Product Master'!P270</f>
        <v/>
      </c>
      <c r="J270" s="2" t="str">
        <f>'01 Product Master'!Q270</f>
        <v/>
      </c>
      <c r="K270" s="1"/>
    </row>
    <row r="271" spans="1:11" ht="16" x14ac:dyDescent="0.2">
      <c r="A271" s="1" t="str">
        <f>'01 Product Master'!A271</f>
        <v>SN-0270</v>
      </c>
      <c r="B271" s="1">
        <f>'01 Product Master'!C271</f>
        <v>0</v>
      </c>
      <c r="C271" s="7" t="str">
        <f>'01 Product Master'!J271</f>
        <v/>
      </c>
      <c r="D271" s="7" t="str">
        <f>'01 Product Master'!K271</f>
        <v/>
      </c>
      <c r="E271" s="7" t="str">
        <f>'01 Product Master'!L271</f>
        <v/>
      </c>
      <c r="F271" s="7" t="str">
        <f>'01 Product Master'!M271</f>
        <v/>
      </c>
      <c r="G271" s="7" t="str">
        <f>'01 Product Master'!N271</f>
        <v/>
      </c>
      <c r="H271" s="7">
        <f>'01 Product Master'!O271</f>
        <v>0</v>
      </c>
      <c r="I271" s="7" t="str">
        <f>'01 Product Master'!P271</f>
        <v/>
      </c>
      <c r="J271" s="2" t="str">
        <f>'01 Product Master'!Q271</f>
        <v/>
      </c>
      <c r="K271" s="1"/>
    </row>
    <row r="272" spans="1:11" ht="16" x14ac:dyDescent="0.2">
      <c r="A272" s="1" t="str">
        <f>'01 Product Master'!A272</f>
        <v>SN-0271</v>
      </c>
      <c r="B272" s="1">
        <f>'01 Product Master'!C272</f>
        <v>0</v>
      </c>
      <c r="C272" s="7" t="str">
        <f>'01 Product Master'!J272</f>
        <v/>
      </c>
      <c r="D272" s="7" t="str">
        <f>'01 Product Master'!K272</f>
        <v/>
      </c>
      <c r="E272" s="7" t="str">
        <f>'01 Product Master'!L272</f>
        <v/>
      </c>
      <c r="F272" s="7" t="str">
        <f>'01 Product Master'!M272</f>
        <v/>
      </c>
      <c r="G272" s="7" t="str">
        <f>'01 Product Master'!N272</f>
        <v/>
      </c>
      <c r="H272" s="7">
        <f>'01 Product Master'!O272</f>
        <v>0</v>
      </c>
      <c r="I272" s="7" t="str">
        <f>'01 Product Master'!P272</f>
        <v/>
      </c>
      <c r="J272" s="2" t="str">
        <f>'01 Product Master'!Q272</f>
        <v/>
      </c>
      <c r="K272" s="1"/>
    </row>
    <row r="273" spans="1:11" ht="16" x14ac:dyDescent="0.2">
      <c r="A273" s="1" t="str">
        <f>'01 Product Master'!A273</f>
        <v>SN-0272</v>
      </c>
      <c r="B273" s="1">
        <f>'01 Product Master'!C273</f>
        <v>0</v>
      </c>
      <c r="C273" s="7" t="str">
        <f>'01 Product Master'!J273</f>
        <v/>
      </c>
      <c r="D273" s="7" t="str">
        <f>'01 Product Master'!K273</f>
        <v/>
      </c>
      <c r="E273" s="7" t="str">
        <f>'01 Product Master'!L273</f>
        <v/>
      </c>
      <c r="F273" s="7" t="str">
        <f>'01 Product Master'!M273</f>
        <v/>
      </c>
      <c r="G273" s="7" t="str">
        <f>'01 Product Master'!N273</f>
        <v/>
      </c>
      <c r="H273" s="7">
        <f>'01 Product Master'!O273</f>
        <v>0</v>
      </c>
      <c r="I273" s="7" t="str">
        <f>'01 Product Master'!P273</f>
        <v/>
      </c>
      <c r="J273" s="2" t="str">
        <f>'01 Product Master'!Q273</f>
        <v/>
      </c>
      <c r="K273" s="1"/>
    </row>
    <row r="274" spans="1:11" ht="16" x14ac:dyDescent="0.2">
      <c r="A274" s="1" t="str">
        <f>'01 Product Master'!A274</f>
        <v>SN-0273</v>
      </c>
      <c r="B274" s="1">
        <f>'01 Product Master'!C274</f>
        <v>0</v>
      </c>
      <c r="C274" s="7" t="str">
        <f>'01 Product Master'!J274</f>
        <v/>
      </c>
      <c r="D274" s="7" t="str">
        <f>'01 Product Master'!K274</f>
        <v/>
      </c>
      <c r="E274" s="7" t="str">
        <f>'01 Product Master'!L274</f>
        <v/>
      </c>
      <c r="F274" s="7" t="str">
        <f>'01 Product Master'!M274</f>
        <v/>
      </c>
      <c r="G274" s="7" t="str">
        <f>'01 Product Master'!N274</f>
        <v/>
      </c>
      <c r="H274" s="7">
        <f>'01 Product Master'!O274</f>
        <v>0</v>
      </c>
      <c r="I274" s="7" t="str">
        <f>'01 Product Master'!P274</f>
        <v/>
      </c>
      <c r="J274" s="2" t="str">
        <f>'01 Product Master'!Q274</f>
        <v/>
      </c>
      <c r="K274" s="1"/>
    </row>
    <row r="275" spans="1:11" ht="16" x14ac:dyDescent="0.2">
      <c r="A275" s="1" t="str">
        <f>'01 Product Master'!A275</f>
        <v>SN-0274</v>
      </c>
      <c r="B275" s="1">
        <f>'01 Product Master'!C275</f>
        <v>0</v>
      </c>
      <c r="C275" s="7" t="str">
        <f>'01 Product Master'!J275</f>
        <v/>
      </c>
      <c r="D275" s="7" t="str">
        <f>'01 Product Master'!K275</f>
        <v/>
      </c>
      <c r="E275" s="7" t="str">
        <f>'01 Product Master'!L275</f>
        <v/>
      </c>
      <c r="F275" s="7" t="str">
        <f>'01 Product Master'!M275</f>
        <v/>
      </c>
      <c r="G275" s="7" t="str">
        <f>'01 Product Master'!N275</f>
        <v/>
      </c>
      <c r="H275" s="7">
        <f>'01 Product Master'!O275</f>
        <v>0</v>
      </c>
      <c r="I275" s="7" t="str">
        <f>'01 Product Master'!P275</f>
        <v/>
      </c>
      <c r="J275" s="2" t="str">
        <f>'01 Product Master'!Q275</f>
        <v/>
      </c>
      <c r="K275" s="1"/>
    </row>
    <row r="276" spans="1:11" ht="16" x14ac:dyDescent="0.2">
      <c r="A276" s="1" t="str">
        <f>'01 Product Master'!A276</f>
        <v>SN-0275</v>
      </c>
      <c r="B276" s="1">
        <f>'01 Product Master'!C276</f>
        <v>0</v>
      </c>
      <c r="C276" s="7" t="str">
        <f>'01 Product Master'!J276</f>
        <v/>
      </c>
      <c r="D276" s="7" t="str">
        <f>'01 Product Master'!K276</f>
        <v/>
      </c>
      <c r="E276" s="7" t="str">
        <f>'01 Product Master'!L276</f>
        <v/>
      </c>
      <c r="F276" s="7" t="str">
        <f>'01 Product Master'!M276</f>
        <v/>
      </c>
      <c r="G276" s="7" t="str">
        <f>'01 Product Master'!N276</f>
        <v/>
      </c>
      <c r="H276" s="7">
        <f>'01 Product Master'!O276</f>
        <v>0</v>
      </c>
      <c r="I276" s="7" t="str">
        <f>'01 Product Master'!P276</f>
        <v/>
      </c>
      <c r="J276" s="2" t="str">
        <f>'01 Product Master'!Q276</f>
        <v/>
      </c>
      <c r="K276" s="1"/>
    </row>
    <row r="277" spans="1:11" ht="16" x14ac:dyDescent="0.2">
      <c r="A277" s="1" t="str">
        <f>'01 Product Master'!A277</f>
        <v>SN-0276</v>
      </c>
      <c r="B277" s="1">
        <f>'01 Product Master'!C277</f>
        <v>0</v>
      </c>
      <c r="C277" s="7" t="str">
        <f>'01 Product Master'!J277</f>
        <v/>
      </c>
      <c r="D277" s="7" t="str">
        <f>'01 Product Master'!K277</f>
        <v/>
      </c>
      <c r="E277" s="7" t="str">
        <f>'01 Product Master'!L277</f>
        <v/>
      </c>
      <c r="F277" s="7" t="str">
        <f>'01 Product Master'!M277</f>
        <v/>
      </c>
      <c r="G277" s="7" t="str">
        <f>'01 Product Master'!N277</f>
        <v/>
      </c>
      <c r="H277" s="7">
        <f>'01 Product Master'!O277</f>
        <v>0</v>
      </c>
      <c r="I277" s="7" t="str">
        <f>'01 Product Master'!P277</f>
        <v/>
      </c>
      <c r="J277" s="2" t="str">
        <f>'01 Product Master'!Q277</f>
        <v/>
      </c>
      <c r="K277" s="1"/>
    </row>
    <row r="278" spans="1:11" ht="16" x14ac:dyDescent="0.2">
      <c r="A278" s="1" t="str">
        <f>'01 Product Master'!A278</f>
        <v>SN-0277</v>
      </c>
      <c r="B278" s="1">
        <f>'01 Product Master'!C278</f>
        <v>0</v>
      </c>
      <c r="C278" s="7" t="str">
        <f>'01 Product Master'!J278</f>
        <v/>
      </c>
      <c r="D278" s="7" t="str">
        <f>'01 Product Master'!K278</f>
        <v/>
      </c>
      <c r="E278" s="7" t="str">
        <f>'01 Product Master'!L278</f>
        <v/>
      </c>
      <c r="F278" s="7" t="str">
        <f>'01 Product Master'!M278</f>
        <v/>
      </c>
      <c r="G278" s="7" t="str">
        <f>'01 Product Master'!N278</f>
        <v/>
      </c>
      <c r="H278" s="7">
        <f>'01 Product Master'!O278</f>
        <v>0</v>
      </c>
      <c r="I278" s="7" t="str">
        <f>'01 Product Master'!P278</f>
        <v/>
      </c>
      <c r="J278" s="2" t="str">
        <f>'01 Product Master'!Q278</f>
        <v/>
      </c>
      <c r="K278" s="1"/>
    </row>
    <row r="279" spans="1:11" ht="16" x14ac:dyDescent="0.2">
      <c r="A279" s="1" t="str">
        <f>'01 Product Master'!A279</f>
        <v>SN-0278</v>
      </c>
      <c r="B279" s="1">
        <f>'01 Product Master'!C279</f>
        <v>0</v>
      </c>
      <c r="C279" s="7" t="str">
        <f>'01 Product Master'!J279</f>
        <v/>
      </c>
      <c r="D279" s="7" t="str">
        <f>'01 Product Master'!K279</f>
        <v/>
      </c>
      <c r="E279" s="7" t="str">
        <f>'01 Product Master'!L279</f>
        <v/>
      </c>
      <c r="F279" s="7" t="str">
        <f>'01 Product Master'!M279</f>
        <v/>
      </c>
      <c r="G279" s="7" t="str">
        <f>'01 Product Master'!N279</f>
        <v/>
      </c>
      <c r="H279" s="7">
        <f>'01 Product Master'!O279</f>
        <v>0</v>
      </c>
      <c r="I279" s="7" t="str">
        <f>'01 Product Master'!P279</f>
        <v/>
      </c>
      <c r="J279" s="2" t="str">
        <f>'01 Product Master'!Q279</f>
        <v/>
      </c>
      <c r="K279" s="1"/>
    </row>
    <row r="280" spans="1:11" ht="16" x14ac:dyDescent="0.2">
      <c r="A280" s="1" t="str">
        <f>'01 Product Master'!A280</f>
        <v>SN-0279</v>
      </c>
      <c r="B280" s="1">
        <f>'01 Product Master'!C280</f>
        <v>0</v>
      </c>
      <c r="C280" s="7" t="str">
        <f>'01 Product Master'!J280</f>
        <v/>
      </c>
      <c r="D280" s="7" t="str">
        <f>'01 Product Master'!K280</f>
        <v/>
      </c>
      <c r="E280" s="7" t="str">
        <f>'01 Product Master'!L280</f>
        <v/>
      </c>
      <c r="F280" s="7" t="str">
        <f>'01 Product Master'!M280</f>
        <v/>
      </c>
      <c r="G280" s="7" t="str">
        <f>'01 Product Master'!N280</f>
        <v/>
      </c>
      <c r="H280" s="7">
        <f>'01 Product Master'!O280</f>
        <v>0</v>
      </c>
      <c r="I280" s="7" t="str">
        <f>'01 Product Master'!P280</f>
        <v/>
      </c>
      <c r="J280" s="2" t="str">
        <f>'01 Product Master'!Q280</f>
        <v/>
      </c>
      <c r="K280" s="1"/>
    </row>
    <row r="281" spans="1:11" ht="16" x14ac:dyDescent="0.2">
      <c r="A281" s="1" t="str">
        <f>'01 Product Master'!A281</f>
        <v>SN-0280</v>
      </c>
      <c r="B281" s="1">
        <f>'01 Product Master'!C281</f>
        <v>0</v>
      </c>
      <c r="C281" s="7" t="str">
        <f>'01 Product Master'!J281</f>
        <v/>
      </c>
      <c r="D281" s="7" t="str">
        <f>'01 Product Master'!K281</f>
        <v/>
      </c>
      <c r="E281" s="7" t="str">
        <f>'01 Product Master'!L281</f>
        <v/>
      </c>
      <c r="F281" s="7" t="str">
        <f>'01 Product Master'!M281</f>
        <v/>
      </c>
      <c r="G281" s="7" t="str">
        <f>'01 Product Master'!N281</f>
        <v/>
      </c>
      <c r="H281" s="7">
        <f>'01 Product Master'!O281</f>
        <v>0</v>
      </c>
      <c r="I281" s="7" t="str">
        <f>'01 Product Master'!P281</f>
        <v/>
      </c>
      <c r="J281" s="2" t="str">
        <f>'01 Product Master'!Q281</f>
        <v/>
      </c>
      <c r="K281" s="1"/>
    </row>
    <row r="282" spans="1:11" ht="16" x14ac:dyDescent="0.2">
      <c r="A282" s="1" t="str">
        <f>'01 Product Master'!A282</f>
        <v>SN-0281</v>
      </c>
      <c r="B282" s="1">
        <f>'01 Product Master'!C282</f>
        <v>0</v>
      </c>
      <c r="C282" s="7" t="str">
        <f>'01 Product Master'!J282</f>
        <v/>
      </c>
      <c r="D282" s="7" t="str">
        <f>'01 Product Master'!K282</f>
        <v/>
      </c>
      <c r="E282" s="7" t="str">
        <f>'01 Product Master'!L282</f>
        <v/>
      </c>
      <c r="F282" s="7" t="str">
        <f>'01 Product Master'!M282</f>
        <v/>
      </c>
      <c r="G282" s="7" t="str">
        <f>'01 Product Master'!N282</f>
        <v/>
      </c>
      <c r="H282" s="7">
        <f>'01 Product Master'!O282</f>
        <v>0</v>
      </c>
      <c r="I282" s="7" t="str">
        <f>'01 Product Master'!P282</f>
        <v/>
      </c>
      <c r="J282" s="2" t="str">
        <f>'01 Product Master'!Q282</f>
        <v/>
      </c>
      <c r="K282" s="1"/>
    </row>
    <row r="283" spans="1:11" ht="16" x14ac:dyDescent="0.2">
      <c r="A283" s="1" t="str">
        <f>'01 Product Master'!A283</f>
        <v>SN-0282</v>
      </c>
      <c r="B283" s="1">
        <f>'01 Product Master'!C283</f>
        <v>0</v>
      </c>
      <c r="C283" s="7" t="str">
        <f>'01 Product Master'!J283</f>
        <v/>
      </c>
      <c r="D283" s="7" t="str">
        <f>'01 Product Master'!K283</f>
        <v/>
      </c>
      <c r="E283" s="7" t="str">
        <f>'01 Product Master'!L283</f>
        <v/>
      </c>
      <c r="F283" s="7" t="str">
        <f>'01 Product Master'!M283</f>
        <v/>
      </c>
      <c r="G283" s="7" t="str">
        <f>'01 Product Master'!N283</f>
        <v/>
      </c>
      <c r="H283" s="7">
        <f>'01 Product Master'!O283</f>
        <v>0</v>
      </c>
      <c r="I283" s="7" t="str">
        <f>'01 Product Master'!P283</f>
        <v/>
      </c>
      <c r="J283" s="2" t="str">
        <f>'01 Product Master'!Q283</f>
        <v/>
      </c>
      <c r="K283" s="1"/>
    </row>
    <row r="284" spans="1:11" ht="16" x14ac:dyDescent="0.2">
      <c r="A284" s="1" t="str">
        <f>'01 Product Master'!A284</f>
        <v>SN-0283</v>
      </c>
      <c r="B284" s="1">
        <f>'01 Product Master'!C284</f>
        <v>0</v>
      </c>
      <c r="C284" s="7" t="str">
        <f>'01 Product Master'!J284</f>
        <v/>
      </c>
      <c r="D284" s="7" t="str">
        <f>'01 Product Master'!K284</f>
        <v/>
      </c>
      <c r="E284" s="7" t="str">
        <f>'01 Product Master'!L284</f>
        <v/>
      </c>
      <c r="F284" s="7" t="str">
        <f>'01 Product Master'!M284</f>
        <v/>
      </c>
      <c r="G284" s="7" t="str">
        <f>'01 Product Master'!N284</f>
        <v/>
      </c>
      <c r="H284" s="7">
        <f>'01 Product Master'!O284</f>
        <v>0</v>
      </c>
      <c r="I284" s="7" t="str">
        <f>'01 Product Master'!P284</f>
        <v/>
      </c>
      <c r="J284" s="2" t="str">
        <f>'01 Product Master'!Q284</f>
        <v/>
      </c>
      <c r="K284" s="1"/>
    </row>
    <row r="285" spans="1:11" ht="16" x14ac:dyDescent="0.2">
      <c r="A285" s="1" t="str">
        <f>'01 Product Master'!A285</f>
        <v>SN-0284</v>
      </c>
      <c r="B285" s="1">
        <f>'01 Product Master'!C285</f>
        <v>0</v>
      </c>
      <c r="C285" s="7" t="str">
        <f>'01 Product Master'!J285</f>
        <v/>
      </c>
      <c r="D285" s="7" t="str">
        <f>'01 Product Master'!K285</f>
        <v/>
      </c>
      <c r="E285" s="7" t="str">
        <f>'01 Product Master'!L285</f>
        <v/>
      </c>
      <c r="F285" s="7" t="str">
        <f>'01 Product Master'!M285</f>
        <v/>
      </c>
      <c r="G285" s="7" t="str">
        <f>'01 Product Master'!N285</f>
        <v/>
      </c>
      <c r="H285" s="7">
        <f>'01 Product Master'!O285</f>
        <v>0</v>
      </c>
      <c r="I285" s="7" t="str">
        <f>'01 Product Master'!P285</f>
        <v/>
      </c>
      <c r="J285" s="2" t="str">
        <f>'01 Product Master'!Q285</f>
        <v/>
      </c>
      <c r="K285" s="1"/>
    </row>
    <row r="286" spans="1:11" ht="16" x14ac:dyDescent="0.2">
      <c r="A286" s="1" t="str">
        <f>'01 Product Master'!A286</f>
        <v>SN-0285</v>
      </c>
      <c r="B286" s="1">
        <f>'01 Product Master'!C286</f>
        <v>0</v>
      </c>
      <c r="C286" s="7" t="str">
        <f>'01 Product Master'!J286</f>
        <v/>
      </c>
      <c r="D286" s="7" t="str">
        <f>'01 Product Master'!K286</f>
        <v/>
      </c>
      <c r="E286" s="7" t="str">
        <f>'01 Product Master'!L286</f>
        <v/>
      </c>
      <c r="F286" s="7" t="str">
        <f>'01 Product Master'!M286</f>
        <v/>
      </c>
      <c r="G286" s="7" t="str">
        <f>'01 Product Master'!N286</f>
        <v/>
      </c>
      <c r="H286" s="7">
        <f>'01 Product Master'!O286</f>
        <v>0</v>
      </c>
      <c r="I286" s="7" t="str">
        <f>'01 Product Master'!P286</f>
        <v/>
      </c>
      <c r="J286" s="2" t="str">
        <f>'01 Product Master'!Q286</f>
        <v/>
      </c>
      <c r="K286" s="1"/>
    </row>
    <row r="287" spans="1:11" ht="16" x14ac:dyDescent="0.2">
      <c r="A287" s="1" t="str">
        <f>'01 Product Master'!A287</f>
        <v>SN-0286</v>
      </c>
      <c r="B287" s="1">
        <f>'01 Product Master'!C287</f>
        <v>0</v>
      </c>
      <c r="C287" s="7" t="str">
        <f>'01 Product Master'!J287</f>
        <v/>
      </c>
      <c r="D287" s="7" t="str">
        <f>'01 Product Master'!K287</f>
        <v/>
      </c>
      <c r="E287" s="7" t="str">
        <f>'01 Product Master'!L287</f>
        <v/>
      </c>
      <c r="F287" s="7" t="str">
        <f>'01 Product Master'!M287</f>
        <v/>
      </c>
      <c r="G287" s="7" t="str">
        <f>'01 Product Master'!N287</f>
        <v/>
      </c>
      <c r="H287" s="7">
        <f>'01 Product Master'!O287</f>
        <v>0</v>
      </c>
      <c r="I287" s="7" t="str">
        <f>'01 Product Master'!P287</f>
        <v/>
      </c>
      <c r="J287" s="2" t="str">
        <f>'01 Product Master'!Q287</f>
        <v/>
      </c>
      <c r="K287" s="1"/>
    </row>
    <row r="288" spans="1:11" ht="16" x14ac:dyDescent="0.2">
      <c r="A288" s="1" t="str">
        <f>'01 Product Master'!A288</f>
        <v>SN-0287</v>
      </c>
      <c r="B288" s="1">
        <f>'01 Product Master'!C288</f>
        <v>0</v>
      </c>
      <c r="C288" s="7" t="str">
        <f>'01 Product Master'!J288</f>
        <v/>
      </c>
      <c r="D288" s="7" t="str">
        <f>'01 Product Master'!K288</f>
        <v/>
      </c>
      <c r="E288" s="7" t="str">
        <f>'01 Product Master'!L288</f>
        <v/>
      </c>
      <c r="F288" s="7" t="str">
        <f>'01 Product Master'!M288</f>
        <v/>
      </c>
      <c r="G288" s="7" t="str">
        <f>'01 Product Master'!N288</f>
        <v/>
      </c>
      <c r="H288" s="7">
        <f>'01 Product Master'!O288</f>
        <v>0</v>
      </c>
      <c r="I288" s="7" t="str">
        <f>'01 Product Master'!P288</f>
        <v/>
      </c>
      <c r="J288" s="2" t="str">
        <f>'01 Product Master'!Q288</f>
        <v/>
      </c>
      <c r="K288" s="1"/>
    </row>
    <row r="289" spans="1:11" ht="16" x14ac:dyDescent="0.2">
      <c r="A289" s="1" t="str">
        <f>'01 Product Master'!A289</f>
        <v>SN-0288</v>
      </c>
      <c r="B289" s="1">
        <f>'01 Product Master'!C289</f>
        <v>0</v>
      </c>
      <c r="C289" s="7" t="str">
        <f>'01 Product Master'!J289</f>
        <v/>
      </c>
      <c r="D289" s="7" t="str">
        <f>'01 Product Master'!K289</f>
        <v/>
      </c>
      <c r="E289" s="7" t="str">
        <f>'01 Product Master'!L289</f>
        <v/>
      </c>
      <c r="F289" s="7" t="str">
        <f>'01 Product Master'!M289</f>
        <v/>
      </c>
      <c r="G289" s="7" t="str">
        <f>'01 Product Master'!N289</f>
        <v/>
      </c>
      <c r="H289" s="7">
        <f>'01 Product Master'!O289</f>
        <v>0</v>
      </c>
      <c r="I289" s="7" t="str">
        <f>'01 Product Master'!P289</f>
        <v/>
      </c>
      <c r="J289" s="2" t="str">
        <f>'01 Product Master'!Q289</f>
        <v/>
      </c>
      <c r="K289" s="1"/>
    </row>
    <row r="290" spans="1:11" ht="16" x14ac:dyDescent="0.2">
      <c r="A290" s="1" t="str">
        <f>'01 Product Master'!A290</f>
        <v>SN-0289</v>
      </c>
      <c r="B290" s="1">
        <f>'01 Product Master'!C290</f>
        <v>0</v>
      </c>
      <c r="C290" s="7" t="str">
        <f>'01 Product Master'!J290</f>
        <v/>
      </c>
      <c r="D290" s="7" t="str">
        <f>'01 Product Master'!K290</f>
        <v/>
      </c>
      <c r="E290" s="7" t="str">
        <f>'01 Product Master'!L290</f>
        <v/>
      </c>
      <c r="F290" s="7" t="str">
        <f>'01 Product Master'!M290</f>
        <v/>
      </c>
      <c r="G290" s="7" t="str">
        <f>'01 Product Master'!N290</f>
        <v/>
      </c>
      <c r="H290" s="7">
        <f>'01 Product Master'!O290</f>
        <v>0</v>
      </c>
      <c r="I290" s="7" t="str">
        <f>'01 Product Master'!P290</f>
        <v/>
      </c>
      <c r="J290" s="2" t="str">
        <f>'01 Product Master'!Q290</f>
        <v/>
      </c>
      <c r="K290" s="1"/>
    </row>
    <row r="291" spans="1:11" ht="16" x14ac:dyDescent="0.2">
      <c r="A291" s="1" t="str">
        <f>'01 Product Master'!A291</f>
        <v>SN-0290</v>
      </c>
      <c r="B291" s="1">
        <f>'01 Product Master'!C291</f>
        <v>0</v>
      </c>
      <c r="C291" s="7" t="str">
        <f>'01 Product Master'!J291</f>
        <v/>
      </c>
      <c r="D291" s="7" t="str">
        <f>'01 Product Master'!K291</f>
        <v/>
      </c>
      <c r="E291" s="7" t="str">
        <f>'01 Product Master'!L291</f>
        <v/>
      </c>
      <c r="F291" s="7" t="str">
        <f>'01 Product Master'!M291</f>
        <v/>
      </c>
      <c r="G291" s="7" t="str">
        <f>'01 Product Master'!N291</f>
        <v/>
      </c>
      <c r="H291" s="7">
        <f>'01 Product Master'!O291</f>
        <v>0</v>
      </c>
      <c r="I291" s="7" t="str">
        <f>'01 Product Master'!P291</f>
        <v/>
      </c>
      <c r="J291" s="2" t="str">
        <f>'01 Product Master'!Q291</f>
        <v/>
      </c>
      <c r="K291" s="1"/>
    </row>
    <row r="292" spans="1:11" ht="16" x14ac:dyDescent="0.2">
      <c r="A292" s="1" t="str">
        <f>'01 Product Master'!A292</f>
        <v>SN-0291</v>
      </c>
      <c r="B292" s="1">
        <f>'01 Product Master'!C292</f>
        <v>0</v>
      </c>
      <c r="C292" s="7" t="str">
        <f>'01 Product Master'!J292</f>
        <v/>
      </c>
      <c r="D292" s="7" t="str">
        <f>'01 Product Master'!K292</f>
        <v/>
      </c>
      <c r="E292" s="7" t="str">
        <f>'01 Product Master'!L292</f>
        <v/>
      </c>
      <c r="F292" s="7" t="str">
        <f>'01 Product Master'!M292</f>
        <v/>
      </c>
      <c r="G292" s="7" t="str">
        <f>'01 Product Master'!N292</f>
        <v/>
      </c>
      <c r="H292" s="7">
        <f>'01 Product Master'!O292</f>
        <v>0</v>
      </c>
      <c r="I292" s="7" t="str">
        <f>'01 Product Master'!P292</f>
        <v/>
      </c>
      <c r="J292" s="2" t="str">
        <f>'01 Product Master'!Q292</f>
        <v/>
      </c>
      <c r="K292" s="1"/>
    </row>
    <row r="293" spans="1:11" ht="16" x14ac:dyDescent="0.2">
      <c r="A293" s="1" t="str">
        <f>'01 Product Master'!A293</f>
        <v>SN-0292</v>
      </c>
      <c r="B293" s="1">
        <f>'01 Product Master'!C293</f>
        <v>0</v>
      </c>
      <c r="C293" s="7" t="str">
        <f>'01 Product Master'!J293</f>
        <v/>
      </c>
      <c r="D293" s="7" t="str">
        <f>'01 Product Master'!K293</f>
        <v/>
      </c>
      <c r="E293" s="7" t="str">
        <f>'01 Product Master'!L293</f>
        <v/>
      </c>
      <c r="F293" s="7" t="str">
        <f>'01 Product Master'!M293</f>
        <v/>
      </c>
      <c r="G293" s="7" t="str">
        <f>'01 Product Master'!N293</f>
        <v/>
      </c>
      <c r="H293" s="7">
        <f>'01 Product Master'!O293</f>
        <v>0</v>
      </c>
      <c r="I293" s="7" t="str">
        <f>'01 Product Master'!P293</f>
        <v/>
      </c>
      <c r="J293" s="2" t="str">
        <f>'01 Product Master'!Q293</f>
        <v/>
      </c>
      <c r="K293" s="1"/>
    </row>
    <row r="294" spans="1:11" ht="16" x14ac:dyDescent="0.2">
      <c r="A294" s="1" t="str">
        <f>'01 Product Master'!A294</f>
        <v>SN-0293</v>
      </c>
      <c r="B294" s="1">
        <f>'01 Product Master'!C294</f>
        <v>0</v>
      </c>
      <c r="C294" s="7" t="str">
        <f>'01 Product Master'!J294</f>
        <v/>
      </c>
      <c r="D294" s="7" t="str">
        <f>'01 Product Master'!K294</f>
        <v/>
      </c>
      <c r="E294" s="7" t="str">
        <f>'01 Product Master'!L294</f>
        <v/>
      </c>
      <c r="F294" s="7" t="str">
        <f>'01 Product Master'!M294</f>
        <v/>
      </c>
      <c r="G294" s="7" t="str">
        <f>'01 Product Master'!N294</f>
        <v/>
      </c>
      <c r="H294" s="7">
        <f>'01 Product Master'!O294</f>
        <v>0</v>
      </c>
      <c r="I294" s="7" t="str">
        <f>'01 Product Master'!P294</f>
        <v/>
      </c>
      <c r="J294" s="2" t="str">
        <f>'01 Product Master'!Q294</f>
        <v/>
      </c>
      <c r="K294" s="1"/>
    </row>
    <row r="295" spans="1:11" ht="16" x14ac:dyDescent="0.2">
      <c r="A295" s="1" t="str">
        <f>'01 Product Master'!A295</f>
        <v>SN-0294</v>
      </c>
      <c r="B295" s="1">
        <f>'01 Product Master'!C295</f>
        <v>0</v>
      </c>
      <c r="C295" s="7" t="str">
        <f>'01 Product Master'!J295</f>
        <v/>
      </c>
      <c r="D295" s="7" t="str">
        <f>'01 Product Master'!K295</f>
        <v/>
      </c>
      <c r="E295" s="7" t="str">
        <f>'01 Product Master'!L295</f>
        <v/>
      </c>
      <c r="F295" s="7" t="str">
        <f>'01 Product Master'!M295</f>
        <v/>
      </c>
      <c r="G295" s="7" t="str">
        <f>'01 Product Master'!N295</f>
        <v/>
      </c>
      <c r="H295" s="7">
        <f>'01 Product Master'!O295</f>
        <v>0</v>
      </c>
      <c r="I295" s="7" t="str">
        <f>'01 Product Master'!P295</f>
        <v/>
      </c>
      <c r="J295" s="2" t="str">
        <f>'01 Product Master'!Q295</f>
        <v/>
      </c>
      <c r="K295" s="1"/>
    </row>
    <row r="296" spans="1:11" ht="16" x14ac:dyDescent="0.2">
      <c r="A296" s="1" t="str">
        <f>'01 Product Master'!A296</f>
        <v>SN-0295</v>
      </c>
      <c r="B296" s="1">
        <f>'01 Product Master'!C296</f>
        <v>0</v>
      </c>
      <c r="C296" s="7" t="str">
        <f>'01 Product Master'!J296</f>
        <v/>
      </c>
      <c r="D296" s="7" t="str">
        <f>'01 Product Master'!K296</f>
        <v/>
      </c>
      <c r="E296" s="7" t="str">
        <f>'01 Product Master'!L296</f>
        <v/>
      </c>
      <c r="F296" s="7" t="str">
        <f>'01 Product Master'!M296</f>
        <v/>
      </c>
      <c r="G296" s="7" t="str">
        <f>'01 Product Master'!N296</f>
        <v/>
      </c>
      <c r="H296" s="7">
        <f>'01 Product Master'!O296</f>
        <v>0</v>
      </c>
      <c r="I296" s="7" t="str">
        <f>'01 Product Master'!P296</f>
        <v/>
      </c>
      <c r="J296" s="2" t="str">
        <f>'01 Product Master'!Q296</f>
        <v/>
      </c>
      <c r="K296" s="1"/>
    </row>
    <row r="297" spans="1:11" ht="16" x14ac:dyDescent="0.2">
      <c r="A297" s="1" t="str">
        <f>'01 Product Master'!A297</f>
        <v>SN-0296</v>
      </c>
      <c r="B297" s="1">
        <f>'01 Product Master'!C297</f>
        <v>0</v>
      </c>
      <c r="C297" s="7" t="str">
        <f>'01 Product Master'!J297</f>
        <v/>
      </c>
      <c r="D297" s="7" t="str">
        <f>'01 Product Master'!K297</f>
        <v/>
      </c>
      <c r="E297" s="7" t="str">
        <f>'01 Product Master'!L297</f>
        <v/>
      </c>
      <c r="F297" s="7" t="str">
        <f>'01 Product Master'!M297</f>
        <v/>
      </c>
      <c r="G297" s="7" t="str">
        <f>'01 Product Master'!N297</f>
        <v/>
      </c>
      <c r="H297" s="7">
        <f>'01 Product Master'!O297</f>
        <v>0</v>
      </c>
      <c r="I297" s="7" t="str">
        <f>'01 Product Master'!P297</f>
        <v/>
      </c>
      <c r="J297" s="2" t="str">
        <f>'01 Product Master'!Q297</f>
        <v/>
      </c>
      <c r="K297" s="1"/>
    </row>
    <row r="298" spans="1:11" ht="16" x14ac:dyDescent="0.2">
      <c r="A298" s="1" t="str">
        <f>'01 Product Master'!A298</f>
        <v>SN-0297</v>
      </c>
      <c r="B298" s="1">
        <f>'01 Product Master'!C298</f>
        <v>0</v>
      </c>
      <c r="C298" s="7" t="str">
        <f>'01 Product Master'!J298</f>
        <v/>
      </c>
      <c r="D298" s="7" t="str">
        <f>'01 Product Master'!K298</f>
        <v/>
      </c>
      <c r="E298" s="7" t="str">
        <f>'01 Product Master'!L298</f>
        <v/>
      </c>
      <c r="F298" s="7" t="str">
        <f>'01 Product Master'!M298</f>
        <v/>
      </c>
      <c r="G298" s="7" t="str">
        <f>'01 Product Master'!N298</f>
        <v/>
      </c>
      <c r="H298" s="7">
        <f>'01 Product Master'!O298</f>
        <v>0</v>
      </c>
      <c r="I298" s="7" t="str">
        <f>'01 Product Master'!P298</f>
        <v/>
      </c>
      <c r="J298" s="2" t="str">
        <f>'01 Product Master'!Q298</f>
        <v/>
      </c>
      <c r="K298" s="1"/>
    </row>
    <row r="299" spans="1:11" ht="16" x14ac:dyDescent="0.2">
      <c r="A299" s="1" t="str">
        <f>'01 Product Master'!A299</f>
        <v>SN-0298</v>
      </c>
      <c r="B299" s="1">
        <f>'01 Product Master'!C299</f>
        <v>0</v>
      </c>
      <c r="C299" s="7" t="str">
        <f>'01 Product Master'!J299</f>
        <v/>
      </c>
      <c r="D299" s="7" t="str">
        <f>'01 Product Master'!K299</f>
        <v/>
      </c>
      <c r="E299" s="7" t="str">
        <f>'01 Product Master'!L299</f>
        <v/>
      </c>
      <c r="F299" s="7" t="str">
        <f>'01 Product Master'!M299</f>
        <v/>
      </c>
      <c r="G299" s="7" t="str">
        <f>'01 Product Master'!N299</f>
        <v/>
      </c>
      <c r="H299" s="7">
        <f>'01 Product Master'!O299</f>
        <v>0</v>
      </c>
      <c r="I299" s="7" t="str">
        <f>'01 Product Master'!P299</f>
        <v/>
      </c>
      <c r="J299" s="2" t="str">
        <f>'01 Product Master'!Q299</f>
        <v/>
      </c>
      <c r="K299" s="1"/>
    </row>
    <row r="300" spans="1:11" ht="16" x14ac:dyDescent="0.2">
      <c r="A300" s="1" t="str">
        <f>'01 Product Master'!A300</f>
        <v>SN-0299</v>
      </c>
      <c r="B300" s="1">
        <f>'01 Product Master'!C300</f>
        <v>0</v>
      </c>
      <c r="C300" s="7" t="str">
        <f>'01 Product Master'!J300</f>
        <v/>
      </c>
      <c r="D300" s="7" t="str">
        <f>'01 Product Master'!K300</f>
        <v/>
      </c>
      <c r="E300" s="7" t="str">
        <f>'01 Product Master'!L300</f>
        <v/>
      </c>
      <c r="F300" s="7" t="str">
        <f>'01 Product Master'!M300</f>
        <v/>
      </c>
      <c r="G300" s="7" t="str">
        <f>'01 Product Master'!N300</f>
        <v/>
      </c>
      <c r="H300" s="7">
        <f>'01 Product Master'!O300</f>
        <v>0</v>
      </c>
      <c r="I300" s="7" t="str">
        <f>'01 Product Master'!P300</f>
        <v/>
      </c>
      <c r="J300" s="2" t="str">
        <f>'01 Product Master'!Q300</f>
        <v/>
      </c>
      <c r="K300" s="1"/>
    </row>
    <row r="301" spans="1:11" ht="16" x14ac:dyDescent="0.2">
      <c r="A301" s="1" t="str">
        <f>'01 Product Master'!A301</f>
        <v>SN-0300</v>
      </c>
      <c r="B301" s="1">
        <f>'01 Product Master'!C301</f>
        <v>0</v>
      </c>
      <c r="C301" s="7" t="str">
        <f>'01 Product Master'!J301</f>
        <v/>
      </c>
      <c r="D301" s="7" t="str">
        <f>'01 Product Master'!K301</f>
        <v/>
      </c>
      <c r="E301" s="7" t="str">
        <f>'01 Product Master'!L301</f>
        <v/>
      </c>
      <c r="F301" s="7" t="str">
        <f>'01 Product Master'!M301</f>
        <v/>
      </c>
      <c r="G301" s="7" t="str">
        <f>'01 Product Master'!N301</f>
        <v/>
      </c>
      <c r="H301" s="7">
        <f>'01 Product Master'!O301</f>
        <v>0</v>
      </c>
      <c r="I301" s="7" t="str">
        <f>'01 Product Master'!P301</f>
        <v/>
      </c>
      <c r="J301" s="2" t="str">
        <f>'01 Product Master'!Q301</f>
        <v/>
      </c>
      <c r="K301" s="1"/>
    </row>
    <row r="302" spans="1:11" ht="16" x14ac:dyDescent="0.2">
      <c r="A302" s="1" t="str">
        <f>'01 Product Master'!A302</f>
        <v>SN-0301</v>
      </c>
      <c r="B302" s="1">
        <f>'01 Product Master'!C302</f>
        <v>0</v>
      </c>
      <c r="C302" s="7" t="str">
        <f>'01 Product Master'!J302</f>
        <v/>
      </c>
      <c r="D302" s="7" t="str">
        <f>'01 Product Master'!K302</f>
        <v/>
      </c>
      <c r="E302" s="7" t="str">
        <f>'01 Product Master'!L302</f>
        <v/>
      </c>
      <c r="F302" s="7" t="str">
        <f>'01 Product Master'!M302</f>
        <v/>
      </c>
      <c r="G302" s="7" t="str">
        <f>'01 Product Master'!N302</f>
        <v/>
      </c>
      <c r="H302" s="7">
        <f>'01 Product Master'!O302</f>
        <v>0</v>
      </c>
      <c r="I302" s="7" t="str">
        <f>'01 Product Master'!P302</f>
        <v/>
      </c>
      <c r="J302" s="2" t="str">
        <f>'01 Product Master'!Q302</f>
        <v/>
      </c>
      <c r="K302" s="1"/>
    </row>
    <row r="303" spans="1:11" ht="16" x14ac:dyDescent="0.2">
      <c r="A303" s="1" t="str">
        <f>'01 Product Master'!A303</f>
        <v>SN-0302</v>
      </c>
      <c r="B303" s="1">
        <f>'01 Product Master'!C303</f>
        <v>0</v>
      </c>
      <c r="C303" s="7" t="str">
        <f>'01 Product Master'!J303</f>
        <v/>
      </c>
      <c r="D303" s="7" t="str">
        <f>'01 Product Master'!K303</f>
        <v/>
      </c>
      <c r="E303" s="7" t="str">
        <f>'01 Product Master'!L303</f>
        <v/>
      </c>
      <c r="F303" s="7" t="str">
        <f>'01 Product Master'!M303</f>
        <v/>
      </c>
      <c r="G303" s="7" t="str">
        <f>'01 Product Master'!N303</f>
        <v/>
      </c>
      <c r="H303" s="7">
        <f>'01 Product Master'!O303</f>
        <v>0</v>
      </c>
      <c r="I303" s="7" t="str">
        <f>'01 Product Master'!P303</f>
        <v/>
      </c>
      <c r="J303" s="2" t="str">
        <f>'01 Product Master'!Q303</f>
        <v/>
      </c>
      <c r="K303" s="1"/>
    </row>
    <row r="304" spans="1:11" ht="16" x14ac:dyDescent="0.2">
      <c r="A304" s="1" t="str">
        <f>'01 Product Master'!A304</f>
        <v>SN-0303</v>
      </c>
      <c r="B304" s="1">
        <f>'01 Product Master'!C304</f>
        <v>0</v>
      </c>
      <c r="C304" s="7" t="str">
        <f>'01 Product Master'!J304</f>
        <v/>
      </c>
      <c r="D304" s="7" t="str">
        <f>'01 Product Master'!K304</f>
        <v/>
      </c>
      <c r="E304" s="7" t="str">
        <f>'01 Product Master'!L304</f>
        <v/>
      </c>
      <c r="F304" s="7" t="str">
        <f>'01 Product Master'!M304</f>
        <v/>
      </c>
      <c r="G304" s="7" t="str">
        <f>'01 Product Master'!N304</f>
        <v/>
      </c>
      <c r="H304" s="7">
        <f>'01 Product Master'!O304</f>
        <v>0</v>
      </c>
      <c r="I304" s="7" t="str">
        <f>'01 Product Master'!P304</f>
        <v/>
      </c>
      <c r="J304" s="2" t="str">
        <f>'01 Product Master'!Q304</f>
        <v/>
      </c>
      <c r="K304" s="1"/>
    </row>
    <row r="305" spans="1:11" ht="16" x14ac:dyDescent="0.2">
      <c r="A305" s="1" t="str">
        <f>'01 Product Master'!A305</f>
        <v>SN-0304</v>
      </c>
      <c r="B305" s="1">
        <f>'01 Product Master'!C305</f>
        <v>0</v>
      </c>
      <c r="C305" s="7" t="str">
        <f>'01 Product Master'!J305</f>
        <v/>
      </c>
      <c r="D305" s="7" t="str">
        <f>'01 Product Master'!K305</f>
        <v/>
      </c>
      <c r="E305" s="7" t="str">
        <f>'01 Product Master'!L305</f>
        <v/>
      </c>
      <c r="F305" s="7" t="str">
        <f>'01 Product Master'!M305</f>
        <v/>
      </c>
      <c r="G305" s="7" t="str">
        <f>'01 Product Master'!N305</f>
        <v/>
      </c>
      <c r="H305" s="7">
        <f>'01 Product Master'!O305</f>
        <v>0</v>
      </c>
      <c r="I305" s="7" t="str">
        <f>'01 Product Master'!P305</f>
        <v/>
      </c>
      <c r="J305" s="2" t="str">
        <f>'01 Product Master'!Q305</f>
        <v/>
      </c>
      <c r="K305" s="1"/>
    </row>
    <row r="306" spans="1:11" ht="16" x14ac:dyDescent="0.2">
      <c r="A306" s="1" t="str">
        <f>'01 Product Master'!A306</f>
        <v>SN-0305</v>
      </c>
      <c r="B306" s="1">
        <f>'01 Product Master'!C306</f>
        <v>0</v>
      </c>
      <c r="C306" s="7" t="str">
        <f>'01 Product Master'!J306</f>
        <v/>
      </c>
      <c r="D306" s="7" t="str">
        <f>'01 Product Master'!K306</f>
        <v/>
      </c>
      <c r="E306" s="7" t="str">
        <f>'01 Product Master'!L306</f>
        <v/>
      </c>
      <c r="F306" s="7" t="str">
        <f>'01 Product Master'!M306</f>
        <v/>
      </c>
      <c r="G306" s="7" t="str">
        <f>'01 Product Master'!N306</f>
        <v/>
      </c>
      <c r="H306" s="7">
        <f>'01 Product Master'!O306</f>
        <v>0</v>
      </c>
      <c r="I306" s="7" t="str">
        <f>'01 Product Master'!P306</f>
        <v/>
      </c>
      <c r="J306" s="2" t="str">
        <f>'01 Product Master'!Q306</f>
        <v/>
      </c>
      <c r="K306" s="1"/>
    </row>
    <row r="307" spans="1:11" ht="16" x14ac:dyDescent="0.2">
      <c r="A307" s="1" t="str">
        <f>'01 Product Master'!A307</f>
        <v>SN-0306</v>
      </c>
      <c r="B307" s="1">
        <f>'01 Product Master'!C307</f>
        <v>0</v>
      </c>
      <c r="C307" s="7" t="str">
        <f>'01 Product Master'!J307</f>
        <v/>
      </c>
      <c r="D307" s="7" t="str">
        <f>'01 Product Master'!K307</f>
        <v/>
      </c>
      <c r="E307" s="7" t="str">
        <f>'01 Product Master'!L307</f>
        <v/>
      </c>
      <c r="F307" s="7" t="str">
        <f>'01 Product Master'!M307</f>
        <v/>
      </c>
      <c r="G307" s="7" t="str">
        <f>'01 Product Master'!N307</f>
        <v/>
      </c>
      <c r="H307" s="7">
        <f>'01 Product Master'!O307</f>
        <v>0</v>
      </c>
      <c r="I307" s="7" t="str">
        <f>'01 Product Master'!P307</f>
        <v/>
      </c>
      <c r="J307" s="2" t="str">
        <f>'01 Product Master'!Q307</f>
        <v/>
      </c>
      <c r="K307" s="1"/>
    </row>
    <row r="308" spans="1:11" ht="16" x14ac:dyDescent="0.2">
      <c r="A308" s="1" t="str">
        <f>'01 Product Master'!A308</f>
        <v>SN-0307</v>
      </c>
      <c r="B308" s="1">
        <f>'01 Product Master'!C308</f>
        <v>0</v>
      </c>
      <c r="C308" s="7" t="str">
        <f>'01 Product Master'!J308</f>
        <v/>
      </c>
      <c r="D308" s="7" t="str">
        <f>'01 Product Master'!K308</f>
        <v/>
      </c>
      <c r="E308" s="7" t="str">
        <f>'01 Product Master'!L308</f>
        <v/>
      </c>
      <c r="F308" s="7" t="str">
        <f>'01 Product Master'!M308</f>
        <v/>
      </c>
      <c r="G308" s="7" t="str">
        <f>'01 Product Master'!N308</f>
        <v/>
      </c>
      <c r="H308" s="7">
        <f>'01 Product Master'!O308</f>
        <v>0</v>
      </c>
      <c r="I308" s="7" t="str">
        <f>'01 Product Master'!P308</f>
        <v/>
      </c>
      <c r="J308" s="2" t="str">
        <f>'01 Product Master'!Q308</f>
        <v/>
      </c>
      <c r="K308" s="1"/>
    </row>
    <row r="309" spans="1:11" ht="16" x14ac:dyDescent="0.2">
      <c r="A309" s="1" t="str">
        <f>'01 Product Master'!A309</f>
        <v>SN-0308</v>
      </c>
      <c r="B309" s="1">
        <f>'01 Product Master'!C309</f>
        <v>0</v>
      </c>
      <c r="C309" s="7" t="str">
        <f>'01 Product Master'!J309</f>
        <v/>
      </c>
      <c r="D309" s="7" t="str">
        <f>'01 Product Master'!K309</f>
        <v/>
      </c>
      <c r="E309" s="7" t="str">
        <f>'01 Product Master'!L309</f>
        <v/>
      </c>
      <c r="F309" s="7" t="str">
        <f>'01 Product Master'!M309</f>
        <v/>
      </c>
      <c r="G309" s="7" t="str">
        <f>'01 Product Master'!N309</f>
        <v/>
      </c>
      <c r="H309" s="7">
        <f>'01 Product Master'!O309</f>
        <v>0</v>
      </c>
      <c r="I309" s="7" t="str">
        <f>'01 Product Master'!P309</f>
        <v/>
      </c>
      <c r="J309" s="2" t="str">
        <f>'01 Product Master'!Q309</f>
        <v/>
      </c>
      <c r="K309" s="1"/>
    </row>
    <row r="310" spans="1:11" ht="16" x14ac:dyDescent="0.2">
      <c r="A310" s="1" t="str">
        <f>'01 Product Master'!A310</f>
        <v>SN-0309</v>
      </c>
      <c r="B310" s="1">
        <f>'01 Product Master'!C310</f>
        <v>0</v>
      </c>
      <c r="C310" s="7" t="str">
        <f>'01 Product Master'!J310</f>
        <v/>
      </c>
      <c r="D310" s="7" t="str">
        <f>'01 Product Master'!K310</f>
        <v/>
      </c>
      <c r="E310" s="7" t="str">
        <f>'01 Product Master'!L310</f>
        <v/>
      </c>
      <c r="F310" s="7" t="str">
        <f>'01 Product Master'!M310</f>
        <v/>
      </c>
      <c r="G310" s="7" t="str">
        <f>'01 Product Master'!N310</f>
        <v/>
      </c>
      <c r="H310" s="7">
        <f>'01 Product Master'!O310</f>
        <v>0</v>
      </c>
      <c r="I310" s="7" t="str">
        <f>'01 Product Master'!P310</f>
        <v/>
      </c>
      <c r="J310" s="2" t="str">
        <f>'01 Product Master'!Q310</f>
        <v/>
      </c>
      <c r="K310" s="1"/>
    </row>
    <row r="311" spans="1:11" ht="16" x14ac:dyDescent="0.2">
      <c r="A311" s="1" t="str">
        <f>'01 Product Master'!A311</f>
        <v>SN-0310</v>
      </c>
      <c r="B311" s="1">
        <f>'01 Product Master'!C311</f>
        <v>0</v>
      </c>
      <c r="C311" s="7" t="str">
        <f>'01 Product Master'!J311</f>
        <v/>
      </c>
      <c r="D311" s="7" t="str">
        <f>'01 Product Master'!K311</f>
        <v/>
      </c>
      <c r="E311" s="7" t="str">
        <f>'01 Product Master'!L311</f>
        <v/>
      </c>
      <c r="F311" s="7" t="str">
        <f>'01 Product Master'!M311</f>
        <v/>
      </c>
      <c r="G311" s="7" t="str">
        <f>'01 Product Master'!N311</f>
        <v/>
      </c>
      <c r="H311" s="7">
        <f>'01 Product Master'!O311</f>
        <v>0</v>
      </c>
      <c r="I311" s="7" t="str">
        <f>'01 Product Master'!P311</f>
        <v/>
      </c>
      <c r="J311" s="2" t="str">
        <f>'01 Product Master'!Q311</f>
        <v/>
      </c>
      <c r="K311" s="1"/>
    </row>
    <row r="312" spans="1:11" ht="16" x14ac:dyDescent="0.2">
      <c r="A312" s="1" t="str">
        <f>'01 Product Master'!A312</f>
        <v>SN-0311</v>
      </c>
      <c r="B312" s="1">
        <f>'01 Product Master'!C312</f>
        <v>0</v>
      </c>
      <c r="C312" s="7" t="str">
        <f>'01 Product Master'!J312</f>
        <v/>
      </c>
      <c r="D312" s="7" t="str">
        <f>'01 Product Master'!K312</f>
        <v/>
      </c>
      <c r="E312" s="7" t="str">
        <f>'01 Product Master'!L312</f>
        <v/>
      </c>
      <c r="F312" s="7" t="str">
        <f>'01 Product Master'!M312</f>
        <v/>
      </c>
      <c r="G312" s="7" t="str">
        <f>'01 Product Master'!N312</f>
        <v/>
      </c>
      <c r="H312" s="7">
        <f>'01 Product Master'!O312</f>
        <v>0</v>
      </c>
      <c r="I312" s="7" t="str">
        <f>'01 Product Master'!P312</f>
        <v/>
      </c>
      <c r="J312" s="2" t="str">
        <f>'01 Product Master'!Q312</f>
        <v/>
      </c>
      <c r="K312" s="1"/>
    </row>
    <row r="313" spans="1:11" ht="16" x14ac:dyDescent="0.2">
      <c r="A313" s="1" t="str">
        <f>'01 Product Master'!A313</f>
        <v>SN-0312</v>
      </c>
      <c r="B313" s="1">
        <f>'01 Product Master'!C313</f>
        <v>0</v>
      </c>
      <c r="C313" s="7" t="str">
        <f>'01 Product Master'!J313</f>
        <v/>
      </c>
      <c r="D313" s="7" t="str">
        <f>'01 Product Master'!K313</f>
        <v/>
      </c>
      <c r="E313" s="7" t="str">
        <f>'01 Product Master'!L313</f>
        <v/>
      </c>
      <c r="F313" s="7" t="str">
        <f>'01 Product Master'!M313</f>
        <v/>
      </c>
      <c r="G313" s="7" t="str">
        <f>'01 Product Master'!N313</f>
        <v/>
      </c>
      <c r="H313" s="7">
        <f>'01 Product Master'!O313</f>
        <v>0</v>
      </c>
      <c r="I313" s="7" t="str">
        <f>'01 Product Master'!P313</f>
        <v/>
      </c>
      <c r="J313" s="2" t="str">
        <f>'01 Product Master'!Q313</f>
        <v/>
      </c>
      <c r="K313" s="1"/>
    </row>
    <row r="314" spans="1:11" ht="16" x14ac:dyDescent="0.2">
      <c r="A314" s="1" t="str">
        <f>'01 Product Master'!A314</f>
        <v>SN-0313</v>
      </c>
      <c r="B314" s="1">
        <f>'01 Product Master'!C314</f>
        <v>0</v>
      </c>
      <c r="C314" s="7" t="str">
        <f>'01 Product Master'!J314</f>
        <v/>
      </c>
      <c r="D314" s="7" t="str">
        <f>'01 Product Master'!K314</f>
        <v/>
      </c>
      <c r="E314" s="7" t="str">
        <f>'01 Product Master'!L314</f>
        <v/>
      </c>
      <c r="F314" s="7" t="str">
        <f>'01 Product Master'!M314</f>
        <v/>
      </c>
      <c r="G314" s="7" t="str">
        <f>'01 Product Master'!N314</f>
        <v/>
      </c>
      <c r="H314" s="7">
        <f>'01 Product Master'!O314</f>
        <v>0</v>
      </c>
      <c r="I314" s="7" t="str">
        <f>'01 Product Master'!P314</f>
        <v/>
      </c>
      <c r="J314" s="2" t="str">
        <f>'01 Product Master'!Q314</f>
        <v/>
      </c>
      <c r="K314" s="1"/>
    </row>
    <row r="315" spans="1:11" ht="16" x14ac:dyDescent="0.2">
      <c r="A315" s="1" t="str">
        <f>'01 Product Master'!A315</f>
        <v>SN-0314</v>
      </c>
      <c r="B315" s="1">
        <f>'01 Product Master'!C315</f>
        <v>0</v>
      </c>
      <c r="C315" s="7" t="str">
        <f>'01 Product Master'!J315</f>
        <v/>
      </c>
      <c r="D315" s="7" t="str">
        <f>'01 Product Master'!K315</f>
        <v/>
      </c>
      <c r="E315" s="7" t="str">
        <f>'01 Product Master'!L315</f>
        <v/>
      </c>
      <c r="F315" s="7" t="str">
        <f>'01 Product Master'!M315</f>
        <v/>
      </c>
      <c r="G315" s="7" t="str">
        <f>'01 Product Master'!N315</f>
        <v/>
      </c>
      <c r="H315" s="7">
        <f>'01 Product Master'!O315</f>
        <v>0</v>
      </c>
      <c r="I315" s="7" t="str">
        <f>'01 Product Master'!P315</f>
        <v/>
      </c>
      <c r="J315" s="2" t="str">
        <f>'01 Product Master'!Q315</f>
        <v/>
      </c>
      <c r="K315" s="1"/>
    </row>
    <row r="316" spans="1:11" ht="16" x14ac:dyDescent="0.2">
      <c r="A316" s="1" t="str">
        <f>'01 Product Master'!A316</f>
        <v>SN-0315</v>
      </c>
      <c r="B316" s="1">
        <f>'01 Product Master'!C316</f>
        <v>0</v>
      </c>
      <c r="C316" s="7" t="str">
        <f>'01 Product Master'!J316</f>
        <v/>
      </c>
      <c r="D316" s="7" t="str">
        <f>'01 Product Master'!K316</f>
        <v/>
      </c>
      <c r="E316" s="7" t="str">
        <f>'01 Product Master'!L316</f>
        <v/>
      </c>
      <c r="F316" s="7" t="str">
        <f>'01 Product Master'!M316</f>
        <v/>
      </c>
      <c r="G316" s="7" t="str">
        <f>'01 Product Master'!N316</f>
        <v/>
      </c>
      <c r="H316" s="7">
        <f>'01 Product Master'!O316</f>
        <v>0</v>
      </c>
      <c r="I316" s="7" t="str">
        <f>'01 Product Master'!P316</f>
        <v/>
      </c>
      <c r="J316" s="2" t="str">
        <f>'01 Product Master'!Q316</f>
        <v/>
      </c>
      <c r="K316" s="1"/>
    </row>
    <row r="317" spans="1:11" ht="16" x14ac:dyDescent="0.2">
      <c r="A317" s="1" t="str">
        <f>'01 Product Master'!A317</f>
        <v>SN-0316</v>
      </c>
      <c r="B317" s="1">
        <f>'01 Product Master'!C317</f>
        <v>0</v>
      </c>
      <c r="C317" s="7" t="str">
        <f>'01 Product Master'!J317</f>
        <v/>
      </c>
      <c r="D317" s="7" t="str">
        <f>'01 Product Master'!K317</f>
        <v/>
      </c>
      <c r="E317" s="7" t="str">
        <f>'01 Product Master'!L317</f>
        <v/>
      </c>
      <c r="F317" s="7" t="str">
        <f>'01 Product Master'!M317</f>
        <v/>
      </c>
      <c r="G317" s="7" t="str">
        <f>'01 Product Master'!N317</f>
        <v/>
      </c>
      <c r="H317" s="7">
        <f>'01 Product Master'!O317</f>
        <v>0</v>
      </c>
      <c r="I317" s="7" t="str">
        <f>'01 Product Master'!P317</f>
        <v/>
      </c>
      <c r="J317" s="2" t="str">
        <f>'01 Product Master'!Q317</f>
        <v/>
      </c>
      <c r="K317" s="1"/>
    </row>
    <row r="318" spans="1:11" ht="16" x14ac:dyDescent="0.2">
      <c r="A318" s="1" t="str">
        <f>'01 Product Master'!A318</f>
        <v>SN-0317</v>
      </c>
      <c r="B318" s="1">
        <f>'01 Product Master'!C318</f>
        <v>0</v>
      </c>
      <c r="C318" s="7" t="str">
        <f>'01 Product Master'!J318</f>
        <v/>
      </c>
      <c r="D318" s="7" t="str">
        <f>'01 Product Master'!K318</f>
        <v/>
      </c>
      <c r="E318" s="7" t="str">
        <f>'01 Product Master'!L318</f>
        <v/>
      </c>
      <c r="F318" s="7" t="str">
        <f>'01 Product Master'!M318</f>
        <v/>
      </c>
      <c r="G318" s="7" t="str">
        <f>'01 Product Master'!N318</f>
        <v/>
      </c>
      <c r="H318" s="7">
        <f>'01 Product Master'!O318</f>
        <v>0</v>
      </c>
      <c r="I318" s="7" t="str">
        <f>'01 Product Master'!P318</f>
        <v/>
      </c>
      <c r="J318" s="2" t="str">
        <f>'01 Product Master'!Q318</f>
        <v/>
      </c>
      <c r="K318" s="1"/>
    </row>
    <row r="319" spans="1:11" ht="16" x14ac:dyDescent="0.2">
      <c r="A319" s="1" t="str">
        <f>'01 Product Master'!A319</f>
        <v>SN-0318</v>
      </c>
      <c r="B319" s="1">
        <f>'01 Product Master'!C319</f>
        <v>0</v>
      </c>
      <c r="C319" s="7" t="str">
        <f>'01 Product Master'!J319</f>
        <v/>
      </c>
      <c r="D319" s="7" t="str">
        <f>'01 Product Master'!K319</f>
        <v/>
      </c>
      <c r="E319" s="7" t="str">
        <f>'01 Product Master'!L319</f>
        <v/>
      </c>
      <c r="F319" s="7" t="str">
        <f>'01 Product Master'!M319</f>
        <v/>
      </c>
      <c r="G319" s="7" t="str">
        <f>'01 Product Master'!N319</f>
        <v/>
      </c>
      <c r="H319" s="7">
        <f>'01 Product Master'!O319</f>
        <v>0</v>
      </c>
      <c r="I319" s="7" t="str">
        <f>'01 Product Master'!P319</f>
        <v/>
      </c>
      <c r="J319" s="2" t="str">
        <f>'01 Product Master'!Q319</f>
        <v/>
      </c>
      <c r="K319" s="1"/>
    </row>
    <row r="320" spans="1:11" ht="16" x14ac:dyDescent="0.2">
      <c r="A320" s="1" t="str">
        <f>'01 Product Master'!A320</f>
        <v>SN-0319</v>
      </c>
      <c r="B320" s="1">
        <f>'01 Product Master'!C320</f>
        <v>0</v>
      </c>
      <c r="C320" s="7" t="str">
        <f>'01 Product Master'!J320</f>
        <v/>
      </c>
      <c r="D320" s="7" t="str">
        <f>'01 Product Master'!K320</f>
        <v/>
      </c>
      <c r="E320" s="7" t="str">
        <f>'01 Product Master'!L320</f>
        <v/>
      </c>
      <c r="F320" s="7" t="str">
        <f>'01 Product Master'!M320</f>
        <v/>
      </c>
      <c r="G320" s="7" t="str">
        <f>'01 Product Master'!N320</f>
        <v/>
      </c>
      <c r="H320" s="7">
        <f>'01 Product Master'!O320</f>
        <v>0</v>
      </c>
      <c r="I320" s="7" t="str">
        <f>'01 Product Master'!P320</f>
        <v/>
      </c>
      <c r="J320" s="2" t="str">
        <f>'01 Product Master'!Q320</f>
        <v/>
      </c>
      <c r="K320" s="1"/>
    </row>
    <row r="321" spans="1:11" ht="16" x14ac:dyDescent="0.2">
      <c r="A321" s="1" t="str">
        <f>'01 Product Master'!A321</f>
        <v>SN-0320</v>
      </c>
      <c r="B321" s="1">
        <f>'01 Product Master'!C321</f>
        <v>0</v>
      </c>
      <c r="C321" s="7" t="str">
        <f>'01 Product Master'!J321</f>
        <v/>
      </c>
      <c r="D321" s="7" t="str">
        <f>'01 Product Master'!K321</f>
        <v/>
      </c>
      <c r="E321" s="7" t="str">
        <f>'01 Product Master'!L321</f>
        <v/>
      </c>
      <c r="F321" s="7" t="str">
        <f>'01 Product Master'!M321</f>
        <v/>
      </c>
      <c r="G321" s="7" t="str">
        <f>'01 Product Master'!N321</f>
        <v/>
      </c>
      <c r="H321" s="7">
        <f>'01 Product Master'!O321</f>
        <v>0</v>
      </c>
      <c r="I321" s="7" t="str">
        <f>'01 Product Master'!P321</f>
        <v/>
      </c>
      <c r="J321" s="2" t="str">
        <f>'01 Product Master'!Q321</f>
        <v/>
      </c>
      <c r="K321" s="1"/>
    </row>
    <row r="322" spans="1:11" ht="16" x14ac:dyDescent="0.2">
      <c r="A322" s="1" t="str">
        <f>'01 Product Master'!A322</f>
        <v>SN-0321</v>
      </c>
      <c r="B322" s="1">
        <f>'01 Product Master'!C322</f>
        <v>0</v>
      </c>
      <c r="C322" s="7" t="str">
        <f>'01 Product Master'!J322</f>
        <v/>
      </c>
      <c r="D322" s="7" t="str">
        <f>'01 Product Master'!K322</f>
        <v/>
      </c>
      <c r="E322" s="7" t="str">
        <f>'01 Product Master'!L322</f>
        <v/>
      </c>
      <c r="F322" s="7" t="str">
        <f>'01 Product Master'!M322</f>
        <v/>
      </c>
      <c r="G322" s="7" t="str">
        <f>'01 Product Master'!N322</f>
        <v/>
      </c>
      <c r="H322" s="7">
        <f>'01 Product Master'!O322</f>
        <v>0</v>
      </c>
      <c r="I322" s="7" t="str">
        <f>'01 Product Master'!P322</f>
        <v/>
      </c>
      <c r="J322" s="2" t="str">
        <f>'01 Product Master'!Q322</f>
        <v/>
      </c>
      <c r="K322" s="1"/>
    </row>
    <row r="323" spans="1:11" ht="16" x14ac:dyDescent="0.2">
      <c r="A323" s="1" t="str">
        <f>'01 Product Master'!A323</f>
        <v>SN-0322</v>
      </c>
      <c r="B323" s="1">
        <f>'01 Product Master'!C323</f>
        <v>0</v>
      </c>
      <c r="C323" s="7" t="str">
        <f>'01 Product Master'!J323</f>
        <v/>
      </c>
      <c r="D323" s="7" t="str">
        <f>'01 Product Master'!K323</f>
        <v/>
      </c>
      <c r="E323" s="7" t="str">
        <f>'01 Product Master'!L323</f>
        <v/>
      </c>
      <c r="F323" s="7" t="str">
        <f>'01 Product Master'!M323</f>
        <v/>
      </c>
      <c r="G323" s="7" t="str">
        <f>'01 Product Master'!N323</f>
        <v/>
      </c>
      <c r="H323" s="7">
        <f>'01 Product Master'!O323</f>
        <v>0</v>
      </c>
      <c r="I323" s="7" t="str">
        <f>'01 Product Master'!P323</f>
        <v/>
      </c>
      <c r="J323" s="2" t="str">
        <f>'01 Product Master'!Q323</f>
        <v/>
      </c>
      <c r="K323" s="1"/>
    </row>
    <row r="324" spans="1:11" ht="16" x14ac:dyDescent="0.2">
      <c r="A324" s="1" t="str">
        <f>'01 Product Master'!A324</f>
        <v>SN-0323</v>
      </c>
      <c r="B324" s="1">
        <f>'01 Product Master'!C324</f>
        <v>0</v>
      </c>
      <c r="C324" s="7" t="str">
        <f>'01 Product Master'!J324</f>
        <v/>
      </c>
      <c r="D324" s="7" t="str">
        <f>'01 Product Master'!K324</f>
        <v/>
      </c>
      <c r="E324" s="7" t="str">
        <f>'01 Product Master'!L324</f>
        <v/>
      </c>
      <c r="F324" s="7" t="str">
        <f>'01 Product Master'!M324</f>
        <v/>
      </c>
      <c r="G324" s="7" t="str">
        <f>'01 Product Master'!N324</f>
        <v/>
      </c>
      <c r="H324" s="7">
        <f>'01 Product Master'!O324</f>
        <v>0</v>
      </c>
      <c r="I324" s="7" t="str">
        <f>'01 Product Master'!P324</f>
        <v/>
      </c>
      <c r="J324" s="2" t="str">
        <f>'01 Product Master'!Q324</f>
        <v/>
      </c>
      <c r="K324" s="1"/>
    </row>
    <row r="325" spans="1:11" ht="16" x14ac:dyDescent="0.2">
      <c r="A325" s="1" t="str">
        <f>'01 Product Master'!A325</f>
        <v>SN-0324</v>
      </c>
      <c r="B325" s="1">
        <f>'01 Product Master'!C325</f>
        <v>0</v>
      </c>
      <c r="C325" s="7" t="str">
        <f>'01 Product Master'!J325</f>
        <v/>
      </c>
      <c r="D325" s="7" t="str">
        <f>'01 Product Master'!K325</f>
        <v/>
      </c>
      <c r="E325" s="7" t="str">
        <f>'01 Product Master'!L325</f>
        <v/>
      </c>
      <c r="F325" s="7" t="str">
        <f>'01 Product Master'!M325</f>
        <v/>
      </c>
      <c r="G325" s="7" t="str">
        <f>'01 Product Master'!N325</f>
        <v/>
      </c>
      <c r="H325" s="7">
        <f>'01 Product Master'!O325</f>
        <v>0</v>
      </c>
      <c r="I325" s="7" t="str">
        <f>'01 Product Master'!P325</f>
        <v/>
      </c>
      <c r="J325" s="2" t="str">
        <f>'01 Product Master'!Q325</f>
        <v/>
      </c>
      <c r="K325" s="1"/>
    </row>
    <row r="326" spans="1:11" ht="16" x14ac:dyDescent="0.2">
      <c r="A326" s="1" t="str">
        <f>'01 Product Master'!A326</f>
        <v>SN-0325</v>
      </c>
      <c r="B326" s="1">
        <f>'01 Product Master'!C326</f>
        <v>0</v>
      </c>
      <c r="C326" s="7" t="str">
        <f>'01 Product Master'!J326</f>
        <v/>
      </c>
      <c r="D326" s="7" t="str">
        <f>'01 Product Master'!K326</f>
        <v/>
      </c>
      <c r="E326" s="7" t="str">
        <f>'01 Product Master'!L326</f>
        <v/>
      </c>
      <c r="F326" s="7" t="str">
        <f>'01 Product Master'!M326</f>
        <v/>
      </c>
      <c r="G326" s="7" t="str">
        <f>'01 Product Master'!N326</f>
        <v/>
      </c>
      <c r="H326" s="7">
        <f>'01 Product Master'!O326</f>
        <v>0</v>
      </c>
      <c r="I326" s="7" t="str">
        <f>'01 Product Master'!P326</f>
        <v/>
      </c>
      <c r="J326" s="2" t="str">
        <f>'01 Product Master'!Q326</f>
        <v/>
      </c>
      <c r="K326" s="1"/>
    </row>
    <row r="327" spans="1:11" ht="16" x14ac:dyDescent="0.2">
      <c r="A327" s="1" t="str">
        <f>'01 Product Master'!A327</f>
        <v>SN-0326</v>
      </c>
      <c r="B327" s="1">
        <f>'01 Product Master'!C327</f>
        <v>0</v>
      </c>
      <c r="C327" s="7" t="str">
        <f>'01 Product Master'!J327</f>
        <v/>
      </c>
      <c r="D327" s="7" t="str">
        <f>'01 Product Master'!K327</f>
        <v/>
      </c>
      <c r="E327" s="7" t="str">
        <f>'01 Product Master'!L327</f>
        <v/>
      </c>
      <c r="F327" s="7" t="str">
        <f>'01 Product Master'!M327</f>
        <v/>
      </c>
      <c r="G327" s="7" t="str">
        <f>'01 Product Master'!N327</f>
        <v/>
      </c>
      <c r="H327" s="7">
        <f>'01 Product Master'!O327</f>
        <v>0</v>
      </c>
      <c r="I327" s="7" t="str">
        <f>'01 Product Master'!P327</f>
        <v/>
      </c>
      <c r="J327" s="2" t="str">
        <f>'01 Product Master'!Q327</f>
        <v/>
      </c>
      <c r="K327" s="1"/>
    </row>
    <row r="328" spans="1:11" ht="16" x14ac:dyDescent="0.2">
      <c r="A328" s="1" t="str">
        <f>'01 Product Master'!A328</f>
        <v>SN-0327</v>
      </c>
      <c r="B328" s="1">
        <f>'01 Product Master'!C328</f>
        <v>0</v>
      </c>
      <c r="C328" s="7" t="str">
        <f>'01 Product Master'!J328</f>
        <v/>
      </c>
      <c r="D328" s="7" t="str">
        <f>'01 Product Master'!K328</f>
        <v/>
      </c>
      <c r="E328" s="7" t="str">
        <f>'01 Product Master'!L328</f>
        <v/>
      </c>
      <c r="F328" s="7" t="str">
        <f>'01 Product Master'!M328</f>
        <v/>
      </c>
      <c r="G328" s="7" t="str">
        <f>'01 Product Master'!N328</f>
        <v/>
      </c>
      <c r="H328" s="7">
        <f>'01 Product Master'!O328</f>
        <v>0</v>
      </c>
      <c r="I328" s="7" t="str">
        <f>'01 Product Master'!P328</f>
        <v/>
      </c>
      <c r="J328" s="2" t="str">
        <f>'01 Product Master'!Q328</f>
        <v/>
      </c>
      <c r="K328" s="1"/>
    </row>
    <row r="329" spans="1:11" ht="16" x14ac:dyDescent="0.2">
      <c r="A329" s="1" t="str">
        <f>'01 Product Master'!A329</f>
        <v>SN-0328</v>
      </c>
      <c r="B329" s="1">
        <f>'01 Product Master'!C329</f>
        <v>0</v>
      </c>
      <c r="C329" s="7" t="str">
        <f>'01 Product Master'!J329</f>
        <v/>
      </c>
      <c r="D329" s="7" t="str">
        <f>'01 Product Master'!K329</f>
        <v/>
      </c>
      <c r="E329" s="7" t="str">
        <f>'01 Product Master'!L329</f>
        <v/>
      </c>
      <c r="F329" s="7" t="str">
        <f>'01 Product Master'!M329</f>
        <v/>
      </c>
      <c r="G329" s="7" t="str">
        <f>'01 Product Master'!N329</f>
        <v/>
      </c>
      <c r="H329" s="7">
        <f>'01 Product Master'!O329</f>
        <v>0</v>
      </c>
      <c r="I329" s="7" t="str">
        <f>'01 Product Master'!P329</f>
        <v/>
      </c>
      <c r="J329" s="2" t="str">
        <f>'01 Product Master'!Q329</f>
        <v/>
      </c>
      <c r="K329" s="1"/>
    </row>
    <row r="330" spans="1:11" ht="16" x14ac:dyDescent="0.2">
      <c r="A330" s="1" t="str">
        <f>'01 Product Master'!A330</f>
        <v>SN-0329</v>
      </c>
      <c r="B330" s="1">
        <f>'01 Product Master'!C330</f>
        <v>0</v>
      </c>
      <c r="C330" s="7" t="str">
        <f>'01 Product Master'!J330</f>
        <v/>
      </c>
      <c r="D330" s="7" t="str">
        <f>'01 Product Master'!K330</f>
        <v/>
      </c>
      <c r="E330" s="7" t="str">
        <f>'01 Product Master'!L330</f>
        <v/>
      </c>
      <c r="F330" s="7" t="str">
        <f>'01 Product Master'!M330</f>
        <v/>
      </c>
      <c r="G330" s="7" t="str">
        <f>'01 Product Master'!N330</f>
        <v/>
      </c>
      <c r="H330" s="7">
        <f>'01 Product Master'!O330</f>
        <v>0</v>
      </c>
      <c r="I330" s="7" t="str">
        <f>'01 Product Master'!P330</f>
        <v/>
      </c>
      <c r="J330" s="2" t="str">
        <f>'01 Product Master'!Q330</f>
        <v/>
      </c>
      <c r="K330" s="1"/>
    </row>
    <row r="331" spans="1:11" ht="16" x14ac:dyDescent="0.2">
      <c r="A331" s="1" t="str">
        <f>'01 Product Master'!A331</f>
        <v>SN-0330</v>
      </c>
      <c r="B331" s="1">
        <f>'01 Product Master'!C331</f>
        <v>0</v>
      </c>
      <c r="C331" s="7" t="str">
        <f>'01 Product Master'!J331</f>
        <v/>
      </c>
      <c r="D331" s="7" t="str">
        <f>'01 Product Master'!K331</f>
        <v/>
      </c>
      <c r="E331" s="7" t="str">
        <f>'01 Product Master'!L331</f>
        <v/>
      </c>
      <c r="F331" s="7" t="str">
        <f>'01 Product Master'!M331</f>
        <v/>
      </c>
      <c r="G331" s="7" t="str">
        <f>'01 Product Master'!N331</f>
        <v/>
      </c>
      <c r="H331" s="7">
        <f>'01 Product Master'!O331</f>
        <v>0</v>
      </c>
      <c r="I331" s="7" t="str">
        <f>'01 Product Master'!P331</f>
        <v/>
      </c>
      <c r="J331" s="2" t="str">
        <f>'01 Product Master'!Q331</f>
        <v/>
      </c>
      <c r="K331" s="1"/>
    </row>
    <row r="332" spans="1:11" ht="16" x14ac:dyDescent="0.2">
      <c r="A332" s="1" t="str">
        <f>'01 Product Master'!A332</f>
        <v>SN-0331</v>
      </c>
      <c r="B332" s="1">
        <f>'01 Product Master'!C332</f>
        <v>0</v>
      </c>
      <c r="C332" s="7" t="str">
        <f>'01 Product Master'!J332</f>
        <v/>
      </c>
      <c r="D332" s="7" t="str">
        <f>'01 Product Master'!K332</f>
        <v/>
      </c>
      <c r="E332" s="7" t="str">
        <f>'01 Product Master'!L332</f>
        <v/>
      </c>
      <c r="F332" s="7" t="str">
        <f>'01 Product Master'!M332</f>
        <v/>
      </c>
      <c r="G332" s="7" t="str">
        <f>'01 Product Master'!N332</f>
        <v/>
      </c>
      <c r="H332" s="7">
        <f>'01 Product Master'!O332</f>
        <v>0</v>
      </c>
      <c r="I332" s="7" t="str">
        <f>'01 Product Master'!P332</f>
        <v/>
      </c>
      <c r="J332" s="2" t="str">
        <f>'01 Product Master'!Q332</f>
        <v/>
      </c>
      <c r="K332" s="1"/>
    </row>
    <row r="333" spans="1:11" ht="16" x14ac:dyDescent="0.2">
      <c r="A333" s="1" t="str">
        <f>'01 Product Master'!A333</f>
        <v>SN-0332</v>
      </c>
      <c r="B333" s="1">
        <f>'01 Product Master'!C333</f>
        <v>0</v>
      </c>
      <c r="C333" s="7" t="str">
        <f>'01 Product Master'!J333</f>
        <v/>
      </c>
      <c r="D333" s="7" t="str">
        <f>'01 Product Master'!K333</f>
        <v/>
      </c>
      <c r="E333" s="7" t="str">
        <f>'01 Product Master'!L333</f>
        <v/>
      </c>
      <c r="F333" s="7" t="str">
        <f>'01 Product Master'!M333</f>
        <v/>
      </c>
      <c r="G333" s="7" t="str">
        <f>'01 Product Master'!N333</f>
        <v/>
      </c>
      <c r="H333" s="7">
        <f>'01 Product Master'!O333</f>
        <v>0</v>
      </c>
      <c r="I333" s="7" t="str">
        <f>'01 Product Master'!P333</f>
        <v/>
      </c>
      <c r="J333" s="2" t="str">
        <f>'01 Product Master'!Q333</f>
        <v/>
      </c>
      <c r="K333" s="1"/>
    </row>
    <row r="334" spans="1:11" ht="16" x14ac:dyDescent="0.2">
      <c r="A334" s="1" t="str">
        <f>'01 Product Master'!A334</f>
        <v>SN-0333</v>
      </c>
      <c r="B334" s="1">
        <f>'01 Product Master'!C334</f>
        <v>0</v>
      </c>
      <c r="C334" s="7" t="str">
        <f>'01 Product Master'!J334</f>
        <v/>
      </c>
      <c r="D334" s="7" t="str">
        <f>'01 Product Master'!K334</f>
        <v/>
      </c>
      <c r="E334" s="7" t="str">
        <f>'01 Product Master'!L334</f>
        <v/>
      </c>
      <c r="F334" s="7" t="str">
        <f>'01 Product Master'!M334</f>
        <v/>
      </c>
      <c r="G334" s="7" t="str">
        <f>'01 Product Master'!N334</f>
        <v/>
      </c>
      <c r="H334" s="7">
        <f>'01 Product Master'!O334</f>
        <v>0</v>
      </c>
      <c r="I334" s="7" t="str">
        <f>'01 Product Master'!P334</f>
        <v/>
      </c>
      <c r="J334" s="2" t="str">
        <f>'01 Product Master'!Q334</f>
        <v/>
      </c>
      <c r="K334" s="1"/>
    </row>
    <row r="335" spans="1:11" ht="16" x14ac:dyDescent="0.2">
      <c r="A335" s="1" t="str">
        <f>'01 Product Master'!A335</f>
        <v>SN-0334</v>
      </c>
      <c r="B335" s="1">
        <f>'01 Product Master'!C335</f>
        <v>0</v>
      </c>
      <c r="C335" s="7" t="str">
        <f>'01 Product Master'!J335</f>
        <v/>
      </c>
      <c r="D335" s="7" t="str">
        <f>'01 Product Master'!K335</f>
        <v/>
      </c>
      <c r="E335" s="7" t="str">
        <f>'01 Product Master'!L335</f>
        <v/>
      </c>
      <c r="F335" s="7" t="str">
        <f>'01 Product Master'!M335</f>
        <v/>
      </c>
      <c r="G335" s="7" t="str">
        <f>'01 Product Master'!N335</f>
        <v/>
      </c>
      <c r="H335" s="7">
        <f>'01 Product Master'!O335</f>
        <v>0</v>
      </c>
      <c r="I335" s="7" t="str">
        <f>'01 Product Master'!P335</f>
        <v/>
      </c>
      <c r="J335" s="2" t="str">
        <f>'01 Product Master'!Q335</f>
        <v/>
      </c>
      <c r="K335" s="1"/>
    </row>
    <row r="336" spans="1:11" ht="16" x14ac:dyDescent="0.2">
      <c r="A336" s="1" t="str">
        <f>'01 Product Master'!A336</f>
        <v>SN-0335</v>
      </c>
      <c r="B336" s="1">
        <f>'01 Product Master'!C336</f>
        <v>0</v>
      </c>
      <c r="C336" s="7" t="str">
        <f>'01 Product Master'!J336</f>
        <v/>
      </c>
      <c r="D336" s="7" t="str">
        <f>'01 Product Master'!K336</f>
        <v/>
      </c>
      <c r="E336" s="7" t="str">
        <f>'01 Product Master'!L336</f>
        <v/>
      </c>
      <c r="F336" s="7" t="str">
        <f>'01 Product Master'!M336</f>
        <v/>
      </c>
      <c r="G336" s="7" t="str">
        <f>'01 Product Master'!N336</f>
        <v/>
      </c>
      <c r="H336" s="7">
        <f>'01 Product Master'!O336</f>
        <v>0</v>
      </c>
      <c r="I336" s="7" t="str">
        <f>'01 Product Master'!P336</f>
        <v/>
      </c>
      <c r="J336" s="2" t="str">
        <f>'01 Product Master'!Q336</f>
        <v/>
      </c>
      <c r="K336" s="1"/>
    </row>
    <row r="337" spans="1:11" ht="16" x14ac:dyDescent="0.2">
      <c r="A337" s="1" t="str">
        <f>'01 Product Master'!A337</f>
        <v>SN-0336</v>
      </c>
      <c r="B337" s="1">
        <f>'01 Product Master'!C337</f>
        <v>0</v>
      </c>
      <c r="C337" s="7" t="str">
        <f>'01 Product Master'!J337</f>
        <v/>
      </c>
      <c r="D337" s="7" t="str">
        <f>'01 Product Master'!K337</f>
        <v/>
      </c>
      <c r="E337" s="7" t="str">
        <f>'01 Product Master'!L337</f>
        <v/>
      </c>
      <c r="F337" s="7" t="str">
        <f>'01 Product Master'!M337</f>
        <v/>
      </c>
      <c r="G337" s="7" t="str">
        <f>'01 Product Master'!N337</f>
        <v/>
      </c>
      <c r="H337" s="7">
        <f>'01 Product Master'!O337</f>
        <v>0</v>
      </c>
      <c r="I337" s="7" t="str">
        <f>'01 Product Master'!P337</f>
        <v/>
      </c>
      <c r="J337" s="2" t="str">
        <f>'01 Product Master'!Q337</f>
        <v/>
      </c>
      <c r="K337" s="1"/>
    </row>
    <row r="338" spans="1:11" ht="16" x14ac:dyDescent="0.2">
      <c r="A338" s="1" t="str">
        <f>'01 Product Master'!A338</f>
        <v>SN-0337</v>
      </c>
      <c r="B338" s="1">
        <f>'01 Product Master'!C338</f>
        <v>0</v>
      </c>
      <c r="C338" s="7" t="str">
        <f>'01 Product Master'!J338</f>
        <v/>
      </c>
      <c r="D338" s="7" t="str">
        <f>'01 Product Master'!K338</f>
        <v/>
      </c>
      <c r="E338" s="7" t="str">
        <f>'01 Product Master'!L338</f>
        <v/>
      </c>
      <c r="F338" s="7" t="str">
        <f>'01 Product Master'!M338</f>
        <v/>
      </c>
      <c r="G338" s="7" t="str">
        <f>'01 Product Master'!N338</f>
        <v/>
      </c>
      <c r="H338" s="7">
        <f>'01 Product Master'!O338</f>
        <v>0</v>
      </c>
      <c r="I338" s="7" t="str">
        <f>'01 Product Master'!P338</f>
        <v/>
      </c>
      <c r="J338" s="2" t="str">
        <f>'01 Product Master'!Q338</f>
        <v/>
      </c>
      <c r="K338" s="1"/>
    </row>
    <row r="339" spans="1:11" ht="16" x14ac:dyDescent="0.2">
      <c r="A339" s="1" t="str">
        <f>'01 Product Master'!A339</f>
        <v>SN-0338</v>
      </c>
      <c r="B339" s="1">
        <f>'01 Product Master'!C339</f>
        <v>0</v>
      </c>
      <c r="C339" s="7" t="str">
        <f>'01 Product Master'!J339</f>
        <v/>
      </c>
      <c r="D339" s="7" t="str">
        <f>'01 Product Master'!K339</f>
        <v/>
      </c>
      <c r="E339" s="7" t="str">
        <f>'01 Product Master'!L339</f>
        <v/>
      </c>
      <c r="F339" s="7" t="str">
        <f>'01 Product Master'!M339</f>
        <v/>
      </c>
      <c r="G339" s="7" t="str">
        <f>'01 Product Master'!N339</f>
        <v/>
      </c>
      <c r="H339" s="7">
        <f>'01 Product Master'!O339</f>
        <v>0</v>
      </c>
      <c r="I339" s="7" t="str">
        <f>'01 Product Master'!P339</f>
        <v/>
      </c>
      <c r="J339" s="2" t="str">
        <f>'01 Product Master'!Q339</f>
        <v/>
      </c>
      <c r="K339" s="1"/>
    </row>
    <row r="340" spans="1:11" ht="16" x14ac:dyDescent="0.2">
      <c r="A340" s="1" t="str">
        <f>'01 Product Master'!A340</f>
        <v>SN-0339</v>
      </c>
      <c r="B340" s="1">
        <f>'01 Product Master'!C340</f>
        <v>0</v>
      </c>
      <c r="C340" s="7" t="str">
        <f>'01 Product Master'!J340</f>
        <v/>
      </c>
      <c r="D340" s="7" t="str">
        <f>'01 Product Master'!K340</f>
        <v/>
      </c>
      <c r="E340" s="7" t="str">
        <f>'01 Product Master'!L340</f>
        <v/>
      </c>
      <c r="F340" s="7" t="str">
        <f>'01 Product Master'!M340</f>
        <v/>
      </c>
      <c r="G340" s="7" t="str">
        <f>'01 Product Master'!N340</f>
        <v/>
      </c>
      <c r="H340" s="7">
        <f>'01 Product Master'!O340</f>
        <v>0</v>
      </c>
      <c r="I340" s="7" t="str">
        <f>'01 Product Master'!P340</f>
        <v/>
      </c>
      <c r="J340" s="2" t="str">
        <f>'01 Product Master'!Q340</f>
        <v/>
      </c>
      <c r="K340" s="1"/>
    </row>
    <row r="341" spans="1:11" ht="16" x14ac:dyDescent="0.2">
      <c r="A341" s="1" t="str">
        <f>'01 Product Master'!A341</f>
        <v>SN-0340</v>
      </c>
      <c r="B341" s="1">
        <f>'01 Product Master'!C341</f>
        <v>0</v>
      </c>
      <c r="C341" s="7" t="str">
        <f>'01 Product Master'!J341</f>
        <v/>
      </c>
      <c r="D341" s="7" t="str">
        <f>'01 Product Master'!K341</f>
        <v/>
      </c>
      <c r="E341" s="7" t="str">
        <f>'01 Product Master'!L341</f>
        <v/>
      </c>
      <c r="F341" s="7" t="str">
        <f>'01 Product Master'!M341</f>
        <v/>
      </c>
      <c r="G341" s="7" t="str">
        <f>'01 Product Master'!N341</f>
        <v/>
      </c>
      <c r="H341" s="7">
        <f>'01 Product Master'!O341</f>
        <v>0</v>
      </c>
      <c r="I341" s="7" t="str">
        <f>'01 Product Master'!P341</f>
        <v/>
      </c>
      <c r="J341" s="2" t="str">
        <f>'01 Product Master'!Q341</f>
        <v/>
      </c>
      <c r="K341" s="1"/>
    </row>
    <row r="342" spans="1:11" ht="16" x14ac:dyDescent="0.2">
      <c r="A342" s="1" t="str">
        <f>'01 Product Master'!A342</f>
        <v>SN-0341</v>
      </c>
      <c r="B342" s="1">
        <f>'01 Product Master'!C342</f>
        <v>0</v>
      </c>
      <c r="C342" s="7" t="str">
        <f>'01 Product Master'!J342</f>
        <v/>
      </c>
      <c r="D342" s="7" t="str">
        <f>'01 Product Master'!K342</f>
        <v/>
      </c>
      <c r="E342" s="7" t="str">
        <f>'01 Product Master'!L342</f>
        <v/>
      </c>
      <c r="F342" s="7" t="str">
        <f>'01 Product Master'!M342</f>
        <v/>
      </c>
      <c r="G342" s="7" t="str">
        <f>'01 Product Master'!N342</f>
        <v/>
      </c>
      <c r="H342" s="7">
        <f>'01 Product Master'!O342</f>
        <v>0</v>
      </c>
      <c r="I342" s="7" t="str">
        <f>'01 Product Master'!P342</f>
        <v/>
      </c>
      <c r="J342" s="2" t="str">
        <f>'01 Product Master'!Q342</f>
        <v/>
      </c>
      <c r="K342" s="1"/>
    </row>
    <row r="343" spans="1:11" ht="16" x14ac:dyDescent="0.2">
      <c r="A343" s="1" t="str">
        <f>'01 Product Master'!A343</f>
        <v>SN-0342</v>
      </c>
      <c r="B343" s="1">
        <f>'01 Product Master'!C343</f>
        <v>0</v>
      </c>
      <c r="C343" s="7" t="str">
        <f>'01 Product Master'!J343</f>
        <v/>
      </c>
      <c r="D343" s="7" t="str">
        <f>'01 Product Master'!K343</f>
        <v/>
      </c>
      <c r="E343" s="7" t="str">
        <f>'01 Product Master'!L343</f>
        <v/>
      </c>
      <c r="F343" s="7" t="str">
        <f>'01 Product Master'!M343</f>
        <v/>
      </c>
      <c r="G343" s="7" t="str">
        <f>'01 Product Master'!N343</f>
        <v/>
      </c>
      <c r="H343" s="7">
        <f>'01 Product Master'!O343</f>
        <v>0</v>
      </c>
      <c r="I343" s="7" t="str">
        <f>'01 Product Master'!P343</f>
        <v/>
      </c>
      <c r="J343" s="2" t="str">
        <f>'01 Product Master'!Q343</f>
        <v/>
      </c>
      <c r="K343" s="1"/>
    </row>
    <row r="344" spans="1:11" ht="16" x14ac:dyDescent="0.2">
      <c r="A344" s="1" t="str">
        <f>'01 Product Master'!A344</f>
        <v>SN-0343</v>
      </c>
      <c r="B344" s="1">
        <f>'01 Product Master'!C344</f>
        <v>0</v>
      </c>
      <c r="C344" s="7" t="str">
        <f>'01 Product Master'!J344</f>
        <v/>
      </c>
      <c r="D344" s="7" t="str">
        <f>'01 Product Master'!K344</f>
        <v/>
      </c>
      <c r="E344" s="7" t="str">
        <f>'01 Product Master'!L344</f>
        <v/>
      </c>
      <c r="F344" s="7" t="str">
        <f>'01 Product Master'!M344</f>
        <v/>
      </c>
      <c r="G344" s="7" t="str">
        <f>'01 Product Master'!N344</f>
        <v/>
      </c>
      <c r="H344" s="7">
        <f>'01 Product Master'!O344</f>
        <v>0</v>
      </c>
      <c r="I344" s="7" t="str">
        <f>'01 Product Master'!P344</f>
        <v/>
      </c>
      <c r="J344" s="2" t="str">
        <f>'01 Product Master'!Q344</f>
        <v/>
      </c>
      <c r="K344" s="1"/>
    </row>
    <row r="345" spans="1:11" ht="16" x14ac:dyDescent="0.2">
      <c r="A345" s="1" t="str">
        <f>'01 Product Master'!A345</f>
        <v>SN-0344</v>
      </c>
      <c r="B345" s="1">
        <f>'01 Product Master'!C345</f>
        <v>0</v>
      </c>
      <c r="C345" s="7" t="str">
        <f>'01 Product Master'!J345</f>
        <v/>
      </c>
      <c r="D345" s="7" t="str">
        <f>'01 Product Master'!K345</f>
        <v/>
      </c>
      <c r="E345" s="7" t="str">
        <f>'01 Product Master'!L345</f>
        <v/>
      </c>
      <c r="F345" s="7" t="str">
        <f>'01 Product Master'!M345</f>
        <v/>
      </c>
      <c r="G345" s="7" t="str">
        <f>'01 Product Master'!N345</f>
        <v/>
      </c>
      <c r="H345" s="7">
        <f>'01 Product Master'!O345</f>
        <v>0</v>
      </c>
      <c r="I345" s="7" t="str">
        <f>'01 Product Master'!P345</f>
        <v/>
      </c>
      <c r="J345" s="2" t="str">
        <f>'01 Product Master'!Q345</f>
        <v/>
      </c>
      <c r="K345" s="1"/>
    </row>
    <row r="346" spans="1:11" ht="16" x14ac:dyDescent="0.2">
      <c r="A346" s="1" t="str">
        <f>'01 Product Master'!A346</f>
        <v>SN-0345</v>
      </c>
      <c r="B346" s="1">
        <f>'01 Product Master'!C346</f>
        <v>0</v>
      </c>
      <c r="C346" s="7" t="str">
        <f>'01 Product Master'!J346</f>
        <v/>
      </c>
      <c r="D346" s="7" t="str">
        <f>'01 Product Master'!K346</f>
        <v/>
      </c>
      <c r="E346" s="7" t="str">
        <f>'01 Product Master'!L346</f>
        <v/>
      </c>
      <c r="F346" s="7" t="str">
        <f>'01 Product Master'!M346</f>
        <v/>
      </c>
      <c r="G346" s="7" t="str">
        <f>'01 Product Master'!N346</f>
        <v/>
      </c>
      <c r="H346" s="7">
        <f>'01 Product Master'!O346</f>
        <v>0</v>
      </c>
      <c r="I346" s="7" t="str">
        <f>'01 Product Master'!P346</f>
        <v/>
      </c>
      <c r="J346" s="2" t="str">
        <f>'01 Product Master'!Q346</f>
        <v/>
      </c>
      <c r="K346" s="1"/>
    </row>
    <row r="347" spans="1:11" ht="16" x14ac:dyDescent="0.2">
      <c r="A347" s="1" t="str">
        <f>'01 Product Master'!A347</f>
        <v>SN-0346</v>
      </c>
      <c r="B347" s="1">
        <f>'01 Product Master'!C347</f>
        <v>0</v>
      </c>
      <c r="C347" s="7" t="str">
        <f>'01 Product Master'!J347</f>
        <v/>
      </c>
      <c r="D347" s="7" t="str">
        <f>'01 Product Master'!K347</f>
        <v/>
      </c>
      <c r="E347" s="7" t="str">
        <f>'01 Product Master'!L347</f>
        <v/>
      </c>
      <c r="F347" s="7" t="str">
        <f>'01 Product Master'!M347</f>
        <v/>
      </c>
      <c r="G347" s="7" t="str">
        <f>'01 Product Master'!N347</f>
        <v/>
      </c>
      <c r="H347" s="7">
        <f>'01 Product Master'!O347</f>
        <v>0</v>
      </c>
      <c r="I347" s="7" t="str">
        <f>'01 Product Master'!P347</f>
        <v/>
      </c>
      <c r="J347" s="2" t="str">
        <f>'01 Product Master'!Q347</f>
        <v/>
      </c>
      <c r="K347" s="1"/>
    </row>
    <row r="348" spans="1:11" ht="16" x14ac:dyDescent="0.2">
      <c r="A348" s="1" t="str">
        <f>'01 Product Master'!A348</f>
        <v>SN-0347</v>
      </c>
      <c r="B348" s="1">
        <f>'01 Product Master'!C348</f>
        <v>0</v>
      </c>
      <c r="C348" s="7" t="str">
        <f>'01 Product Master'!J348</f>
        <v/>
      </c>
      <c r="D348" s="7" t="str">
        <f>'01 Product Master'!K348</f>
        <v/>
      </c>
      <c r="E348" s="7" t="str">
        <f>'01 Product Master'!L348</f>
        <v/>
      </c>
      <c r="F348" s="7" t="str">
        <f>'01 Product Master'!M348</f>
        <v/>
      </c>
      <c r="G348" s="7" t="str">
        <f>'01 Product Master'!N348</f>
        <v/>
      </c>
      <c r="H348" s="7">
        <f>'01 Product Master'!O348</f>
        <v>0</v>
      </c>
      <c r="I348" s="7" t="str">
        <f>'01 Product Master'!P348</f>
        <v/>
      </c>
      <c r="J348" s="2" t="str">
        <f>'01 Product Master'!Q348</f>
        <v/>
      </c>
      <c r="K348" s="1"/>
    </row>
    <row r="349" spans="1:11" ht="16" x14ac:dyDescent="0.2">
      <c r="A349" s="1" t="str">
        <f>'01 Product Master'!A349</f>
        <v>SN-0348</v>
      </c>
      <c r="B349" s="1">
        <f>'01 Product Master'!C349</f>
        <v>0</v>
      </c>
      <c r="C349" s="7" t="str">
        <f>'01 Product Master'!J349</f>
        <v/>
      </c>
      <c r="D349" s="7" t="str">
        <f>'01 Product Master'!K349</f>
        <v/>
      </c>
      <c r="E349" s="7" t="str">
        <f>'01 Product Master'!L349</f>
        <v/>
      </c>
      <c r="F349" s="7" t="str">
        <f>'01 Product Master'!M349</f>
        <v/>
      </c>
      <c r="G349" s="7" t="str">
        <f>'01 Product Master'!N349</f>
        <v/>
      </c>
      <c r="H349" s="7">
        <f>'01 Product Master'!O349</f>
        <v>0</v>
      </c>
      <c r="I349" s="7" t="str">
        <f>'01 Product Master'!P349</f>
        <v/>
      </c>
      <c r="J349" s="2" t="str">
        <f>'01 Product Master'!Q349</f>
        <v/>
      </c>
      <c r="K349" s="1"/>
    </row>
    <row r="350" spans="1:11" ht="16" x14ac:dyDescent="0.2">
      <c r="A350" s="1" t="str">
        <f>'01 Product Master'!A350</f>
        <v>SN-0349</v>
      </c>
      <c r="B350" s="1">
        <f>'01 Product Master'!C350</f>
        <v>0</v>
      </c>
      <c r="C350" s="7" t="str">
        <f>'01 Product Master'!J350</f>
        <v/>
      </c>
      <c r="D350" s="7" t="str">
        <f>'01 Product Master'!K350</f>
        <v/>
      </c>
      <c r="E350" s="7" t="str">
        <f>'01 Product Master'!L350</f>
        <v/>
      </c>
      <c r="F350" s="7" t="str">
        <f>'01 Product Master'!M350</f>
        <v/>
      </c>
      <c r="G350" s="7" t="str">
        <f>'01 Product Master'!N350</f>
        <v/>
      </c>
      <c r="H350" s="7">
        <f>'01 Product Master'!O350</f>
        <v>0</v>
      </c>
      <c r="I350" s="7" t="str">
        <f>'01 Product Master'!P350</f>
        <v/>
      </c>
      <c r="J350" s="2" t="str">
        <f>'01 Product Master'!Q350</f>
        <v/>
      </c>
      <c r="K350" s="1"/>
    </row>
    <row r="351" spans="1:11" ht="16" x14ac:dyDescent="0.2">
      <c r="A351" s="1" t="str">
        <f>'01 Product Master'!A351</f>
        <v>SN-0350</v>
      </c>
      <c r="B351" s="1">
        <f>'01 Product Master'!C351</f>
        <v>0</v>
      </c>
      <c r="C351" s="7" t="str">
        <f>'01 Product Master'!J351</f>
        <v/>
      </c>
      <c r="D351" s="7" t="str">
        <f>'01 Product Master'!K351</f>
        <v/>
      </c>
      <c r="E351" s="7" t="str">
        <f>'01 Product Master'!L351</f>
        <v/>
      </c>
      <c r="F351" s="7" t="str">
        <f>'01 Product Master'!M351</f>
        <v/>
      </c>
      <c r="G351" s="7" t="str">
        <f>'01 Product Master'!N351</f>
        <v/>
      </c>
      <c r="H351" s="7">
        <f>'01 Product Master'!O351</f>
        <v>0</v>
      </c>
      <c r="I351" s="7" t="str">
        <f>'01 Product Master'!P351</f>
        <v/>
      </c>
      <c r="J351" s="2" t="str">
        <f>'01 Product Master'!Q351</f>
        <v/>
      </c>
      <c r="K351" s="1"/>
    </row>
    <row r="352" spans="1:11" ht="16" x14ac:dyDescent="0.2">
      <c r="A352" s="1" t="str">
        <f>'01 Product Master'!A352</f>
        <v>SN-0351</v>
      </c>
      <c r="B352" s="1">
        <f>'01 Product Master'!C352</f>
        <v>0</v>
      </c>
      <c r="C352" s="7" t="str">
        <f>'01 Product Master'!J352</f>
        <v/>
      </c>
      <c r="D352" s="7" t="str">
        <f>'01 Product Master'!K352</f>
        <v/>
      </c>
      <c r="E352" s="7" t="str">
        <f>'01 Product Master'!L352</f>
        <v/>
      </c>
      <c r="F352" s="7" t="str">
        <f>'01 Product Master'!M352</f>
        <v/>
      </c>
      <c r="G352" s="7" t="str">
        <f>'01 Product Master'!N352</f>
        <v/>
      </c>
      <c r="H352" s="7">
        <f>'01 Product Master'!O352</f>
        <v>0</v>
      </c>
      <c r="I352" s="7" t="str">
        <f>'01 Product Master'!P352</f>
        <v/>
      </c>
      <c r="J352" s="2" t="str">
        <f>'01 Product Master'!Q352</f>
        <v/>
      </c>
      <c r="K352" s="1"/>
    </row>
    <row r="353" spans="1:11" ht="16" x14ac:dyDescent="0.2">
      <c r="A353" s="1" t="str">
        <f>'01 Product Master'!A353</f>
        <v>SN-0352</v>
      </c>
      <c r="B353" s="1">
        <f>'01 Product Master'!C353</f>
        <v>0</v>
      </c>
      <c r="C353" s="7" t="str">
        <f>'01 Product Master'!J353</f>
        <v/>
      </c>
      <c r="D353" s="7" t="str">
        <f>'01 Product Master'!K353</f>
        <v/>
      </c>
      <c r="E353" s="7" t="str">
        <f>'01 Product Master'!L353</f>
        <v/>
      </c>
      <c r="F353" s="7" t="str">
        <f>'01 Product Master'!M353</f>
        <v/>
      </c>
      <c r="G353" s="7" t="str">
        <f>'01 Product Master'!N353</f>
        <v/>
      </c>
      <c r="H353" s="7">
        <f>'01 Product Master'!O353</f>
        <v>0</v>
      </c>
      <c r="I353" s="7" t="str">
        <f>'01 Product Master'!P353</f>
        <v/>
      </c>
      <c r="J353" s="2" t="str">
        <f>'01 Product Master'!Q353</f>
        <v/>
      </c>
      <c r="K353" s="1"/>
    </row>
    <row r="354" spans="1:11" ht="16" x14ac:dyDescent="0.2">
      <c r="A354" s="1" t="str">
        <f>'01 Product Master'!A354</f>
        <v>SN-0353</v>
      </c>
      <c r="B354" s="1">
        <f>'01 Product Master'!C354</f>
        <v>0</v>
      </c>
      <c r="C354" s="7" t="str">
        <f>'01 Product Master'!J354</f>
        <v/>
      </c>
      <c r="D354" s="7" t="str">
        <f>'01 Product Master'!K354</f>
        <v/>
      </c>
      <c r="E354" s="7" t="str">
        <f>'01 Product Master'!L354</f>
        <v/>
      </c>
      <c r="F354" s="7" t="str">
        <f>'01 Product Master'!M354</f>
        <v/>
      </c>
      <c r="G354" s="7" t="str">
        <f>'01 Product Master'!N354</f>
        <v/>
      </c>
      <c r="H354" s="7">
        <f>'01 Product Master'!O354</f>
        <v>0</v>
      </c>
      <c r="I354" s="7" t="str">
        <f>'01 Product Master'!P354</f>
        <v/>
      </c>
      <c r="J354" s="2" t="str">
        <f>'01 Product Master'!Q354</f>
        <v/>
      </c>
      <c r="K354" s="1"/>
    </row>
    <row r="355" spans="1:11" ht="16" x14ac:dyDescent="0.2">
      <c r="A355" s="1" t="str">
        <f>'01 Product Master'!A355</f>
        <v>SN-0354</v>
      </c>
      <c r="B355" s="1">
        <f>'01 Product Master'!C355</f>
        <v>0</v>
      </c>
      <c r="C355" s="7" t="str">
        <f>'01 Product Master'!J355</f>
        <v/>
      </c>
      <c r="D355" s="7" t="str">
        <f>'01 Product Master'!K355</f>
        <v/>
      </c>
      <c r="E355" s="7" t="str">
        <f>'01 Product Master'!L355</f>
        <v/>
      </c>
      <c r="F355" s="7" t="str">
        <f>'01 Product Master'!M355</f>
        <v/>
      </c>
      <c r="G355" s="7" t="str">
        <f>'01 Product Master'!N355</f>
        <v/>
      </c>
      <c r="H355" s="7">
        <f>'01 Product Master'!O355</f>
        <v>0</v>
      </c>
      <c r="I355" s="7" t="str">
        <f>'01 Product Master'!P355</f>
        <v/>
      </c>
      <c r="J355" s="2" t="str">
        <f>'01 Product Master'!Q355</f>
        <v/>
      </c>
      <c r="K355" s="1"/>
    </row>
    <row r="356" spans="1:11" ht="16" x14ac:dyDescent="0.2">
      <c r="A356" s="1" t="str">
        <f>'01 Product Master'!A356</f>
        <v>SN-0355</v>
      </c>
      <c r="B356" s="1">
        <f>'01 Product Master'!C356</f>
        <v>0</v>
      </c>
      <c r="C356" s="7" t="str">
        <f>'01 Product Master'!J356</f>
        <v/>
      </c>
      <c r="D356" s="7" t="str">
        <f>'01 Product Master'!K356</f>
        <v/>
      </c>
      <c r="E356" s="7" t="str">
        <f>'01 Product Master'!L356</f>
        <v/>
      </c>
      <c r="F356" s="7" t="str">
        <f>'01 Product Master'!M356</f>
        <v/>
      </c>
      <c r="G356" s="7" t="str">
        <f>'01 Product Master'!N356</f>
        <v/>
      </c>
      <c r="H356" s="7">
        <f>'01 Product Master'!O356</f>
        <v>0</v>
      </c>
      <c r="I356" s="7" t="str">
        <f>'01 Product Master'!P356</f>
        <v/>
      </c>
      <c r="J356" s="2" t="str">
        <f>'01 Product Master'!Q356</f>
        <v/>
      </c>
      <c r="K356" s="1"/>
    </row>
    <row r="357" spans="1:11" ht="16" x14ac:dyDescent="0.2">
      <c r="A357" s="1" t="str">
        <f>'01 Product Master'!A357</f>
        <v>SN-0356</v>
      </c>
      <c r="B357" s="1">
        <f>'01 Product Master'!C357</f>
        <v>0</v>
      </c>
      <c r="C357" s="7" t="str">
        <f>'01 Product Master'!J357</f>
        <v/>
      </c>
      <c r="D357" s="7" t="str">
        <f>'01 Product Master'!K357</f>
        <v/>
      </c>
      <c r="E357" s="7" t="str">
        <f>'01 Product Master'!L357</f>
        <v/>
      </c>
      <c r="F357" s="7" t="str">
        <f>'01 Product Master'!M357</f>
        <v/>
      </c>
      <c r="G357" s="7" t="str">
        <f>'01 Product Master'!N357</f>
        <v/>
      </c>
      <c r="H357" s="7">
        <f>'01 Product Master'!O357</f>
        <v>0</v>
      </c>
      <c r="I357" s="7" t="str">
        <f>'01 Product Master'!P357</f>
        <v/>
      </c>
      <c r="J357" s="2" t="str">
        <f>'01 Product Master'!Q357</f>
        <v/>
      </c>
      <c r="K357" s="1"/>
    </row>
    <row r="358" spans="1:11" ht="16" x14ac:dyDescent="0.2">
      <c r="A358" s="1" t="str">
        <f>'01 Product Master'!A358</f>
        <v>SN-0357</v>
      </c>
      <c r="B358" s="1">
        <f>'01 Product Master'!C358</f>
        <v>0</v>
      </c>
      <c r="C358" s="7" t="str">
        <f>'01 Product Master'!J358</f>
        <v/>
      </c>
      <c r="D358" s="7" t="str">
        <f>'01 Product Master'!K358</f>
        <v/>
      </c>
      <c r="E358" s="7" t="str">
        <f>'01 Product Master'!L358</f>
        <v/>
      </c>
      <c r="F358" s="7" t="str">
        <f>'01 Product Master'!M358</f>
        <v/>
      </c>
      <c r="G358" s="7" t="str">
        <f>'01 Product Master'!N358</f>
        <v/>
      </c>
      <c r="H358" s="7">
        <f>'01 Product Master'!O358</f>
        <v>0</v>
      </c>
      <c r="I358" s="7" t="str">
        <f>'01 Product Master'!P358</f>
        <v/>
      </c>
      <c r="J358" s="2" t="str">
        <f>'01 Product Master'!Q358</f>
        <v/>
      </c>
      <c r="K358" s="1"/>
    </row>
    <row r="359" spans="1:11" ht="16" x14ac:dyDescent="0.2">
      <c r="A359" s="1" t="str">
        <f>'01 Product Master'!A359</f>
        <v>SN-0358</v>
      </c>
      <c r="B359" s="1">
        <f>'01 Product Master'!C359</f>
        <v>0</v>
      </c>
      <c r="C359" s="7" t="str">
        <f>'01 Product Master'!J359</f>
        <v/>
      </c>
      <c r="D359" s="7" t="str">
        <f>'01 Product Master'!K359</f>
        <v/>
      </c>
      <c r="E359" s="7" t="str">
        <f>'01 Product Master'!L359</f>
        <v/>
      </c>
      <c r="F359" s="7" t="str">
        <f>'01 Product Master'!M359</f>
        <v/>
      </c>
      <c r="G359" s="7" t="str">
        <f>'01 Product Master'!N359</f>
        <v/>
      </c>
      <c r="H359" s="7">
        <f>'01 Product Master'!O359</f>
        <v>0</v>
      </c>
      <c r="I359" s="7" t="str">
        <f>'01 Product Master'!P359</f>
        <v/>
      </c>
      <c r="J359" s="2" t="str">
        <f>'01 Product Master'!Q359</f>
        <v/>
      </c>
      <c r="K359" s="1"/>
    </row>
    <row r="360" spans="1:11" ht="16" x14ac:dyDescent="0.2">
      <c r="A360" s="1" t="str">
        <f>'01 Product Master'!A360</f>
        <v>SN-0359</v>
      </c>
      <c r="B360" s="1">
        <f>'01 Product Master'!C360</f>
        <v>0</v>
      </c>
      <c r="C360" s="7" t="str">
        <f>'01 Product Master'!J360</f>
        <v/>
      </c>
      <c r="D360" s="7" t="str">
        <f>'01 Product Master'!K360</f>
        <v/>
      </c>
      <c r="E360" s="7" t="str">
        <f>'01 Product Master'!L360</f>
        <v/>
      </c>
      <c r="F360" s="7" t="str">
        <f>'01 Product Master'!M360</f>
        <v/>
      </c>
      <c r="G360" s="7" t="str">
        <f>'01 Product Master'!N360</f>
        <v/>
      </c>
      <c r="H360" s="7">
        <f>'01 Product Master'!O360</f>
        <v>0</v>
      </c>
      <c r="I360" s="7" t="str">
        <f>'01 Product Master'!P360</f>
        <v/>
      </c>
      <c r="J360" s="2" t="str">
        <f>'01 Product Master'!Q360</f>
        <v/>
      </c>
      <c r="K360" s="1"/>
    </row>
    <row r="361" spans="1:11" ht="16" x14ac:dyDescent="0.2">
      <c r="A361" s="1" t="str">
        <f>'01 Product Master'!A361</f>
        <v>SN-0360</v>
      </c>
      <c r="B361" s="1">
        <f>'01 Product Master'!C361</f>
        <v>0</v>
      </c>
      <c r="C361" s="7" t="str">
        <f>'01 Product Master'!J361</f>
        <v/>
      </c>
      <c r="D361" s="7" t="str">
        <f>'01 Product Master'!K361</f>
        <v/>
      </c>
      <c r="E361" s="7" t="str">
        <f>'01 Product Master'!L361</f>
        <v/>
      </c>
      <c r="F361" s="7" t="str">
        <f>'01 Product Master'!M361</f>
        <v/>
      </c>
      <c r="G361" s="7" t="str">
        <f>'01 Product Master'!N361</f>
        <v/>
      </c>
      <c r="H361" s="7">
        <f>'01 Product Master'!O361</f>
        <v>0</v>
      </c>
      <c r="I361" s="7" t="str">
        <f>'01 Product Master'!P361</f>
        <v/>
      </c>
      <c r="J361" s="2" t="str">
        <f>'01 Product Master'!Q361</f>
        <v/>
      </c>
      <c r="K361" s="1"/>
    </row>
    <row r="362" spans="1:11" ht="16" x14ac:dyDescent="0.2">
      <c r="A362" s="1" t="str">
        <f>'01 Product Master'!A362</f>
        <v>SN-0361</v>
      </c>
      <c r="B362" s="1">
        <f>'01 Product Master'!C362</f>
        <v>0</v>
      </c>
      <c r="C362" s="7" t="str">
        <f>'01 Product Master'!J362</f>
        <v/>
      </c>
      <c r="D362" s="7" t="str">
        <f>'01 Product Master'!K362</f>
        <v/>
      </c>
      <c r="E362" s="7" t="str">
        <f>'01 Product Master'!L362</f>
        <v/>
      </c>
      <c r="F362" s="7" t="str">
        <f>'01 Product Master'!M362</f>
        <v/>
      </c>
      <c r="G362" s="7" t="str">
        <f>'01 Product Master'!N362</f>
        <v/>
      </c>
      <c r="H362" s="7">
        <f>'01 Product Master'!O362</f>
        <v>0</v>
      </c>
      <c r="I362" s="7" t="str">
        <f>'01 Product Master'!P362</f>
        <v/>
      </c>
      <c r="J362" s="2" t="str">
        <f>'01 Product Master'!Q362</f>
        <v/>
      </c>
      <c r="K362" s="1"/>
    </row>
    <row r="363" spans="1:11" ht="16" x14ac:dyDescent="0.2">
      <c r="A363" s="1" t="str">
        <f>'01 Product Master'!A363</f>
        <v>SN-0362</v>
      </c>
      <c r="B363" s="1">
        <f>'01 Product Master'!C363</f>
        <v>0</v>
      </c>
      <c r="C363" s="7" t="str">
        <f>'01 Product Master'!J363</f>
        <v/>
      </c>
      <c r="D363" s="7" t="str">
        <f>'01 Product Master'!K363</f>
        <v/>
      </c>
      <c r="E363" s="7" t="str">
        <f>'01 Product Master'!L363</f>
        <v/>
      </c>
      <c r="F363" s="7" t="str">
        <f>'01 Product Master'!M363</f>
        <v/>
      </c>
      <c r="G363" s="7" t="str">
        <f>'01 Product Master'!N363</f>
        <v/>
      </c>
      <c r="H363" s="7">
        <f>'01 Product Master'!O363</f>
        <v>0</v>
      </c>
      <c r="I363" s="7" t="str">
        <f>'01 Product Master'!P363</f>
        <v/>
      </c>
      <c r="J363" s="2" t="str">
        <f>'01 Product Master'!Q363</f>
        <v/>
      </c>
      <c r="K363" s="1"/>
    </row>
    <row r="364" spans="1:11" ht="16" x14ac:dyDescent="0.2">
      <c r="A364" s="1" t="str">
        <f>'01 Product Master'!A364</f>
        <v>SN-0363</v>
      </c>
      <c r="B364" s="1">
        <f>'01 Product Master'!C364</f>
        <v>0</v>
      </c>
      <c r="C364" s="7" t="str">
        <f>'01 Product Master'!J364</f>
        <v/>
      </c>
      <c r="D364" s="7" t="str">
        <f>'01 Product Master'!K364</f>
        <v/>
      </c>
      <c r="E364" s="7" t="str">
        <f>'01 Product Master'!L364</f>
        <v/>
      </c>
      <c r="F364" s="7" t="str">
        <f>'01 Product Master'!M364</f>
        <v/>
      </c>
      <c r="G364" s="7" t="str">
        <f>'01 Product Master'!N364</f>
        <v/>
      </c>
      <c r="H364" s="7">
        <f>'01 Product Master'!O364</f>
        <v>0</v>
      </c>
      <c r="I364" s="7" t="str">
        <f>'01 Product Master'!P364</f>
        <v/>
      </c>
      <c r="J364" s="2" t="str">
        <f>'01 Product Master'!Q364</f>
        <v/>
      </c>
      <c r="K364" s="1"/>
    </row>
    <row r="365" spans="1:11" ht="16" x14ac:dyDescent="0.2">
      <c r="A365" s="1" t="str">
        <f>'01 Product Master'!A365</f>
        <v>SN-0364</v>
      </c>
      <c r="B365" s="1">
        <f>'01 Product Master'!C365</f>
        <v>0</v>
      </c>
      <c r="C365" s="7" t="str">
        <f>'01 Product Master'!J365</f>
        <v/>
      </c>
      <c r="D365" s="7" t="str">
        <f>'01 Product Master'!K365</f>
        <v/>
      </c>
      <c r="E365" s="7" t="str">
        <f>'01 Product Master'!L365</f>
        <v/>
      </c>
      <c r="F365" s="7" t="str">
        <f>'01 Product Master'!M365</f>
        <v/>
      </c>
      <c r="G365" s="7" t="str">
        <f>'01 Product Master'!N365</f>
        <v/>
      </c>
      <c r="H365" s="7">
        <f>'01 Product Master'!O365</f>
        <v>0</v>
      </c>
      <c r="I365" s="7" t="str">
        <f>'01 Product Master'!P365</f>
        <v/>
      </c>
      <c r="J365" s="2" t="str">
        <f>'01 Product Master'!Q365</f>
        <v/>
      </c>
      <c r="K365" s="1"/>
    </row>
    <row r="366" spans="1:11" ht="16" x14ac:dyDescent="0.2">
      <c r="A366" s="1" t="str">
        <f>'01 Product Master'!A366</f>
        <v>SN-0365</v>
      </c>
      <c r="B366" s="1">
        <f>'01 Product Master'!C366</f>
        <v>0</v>
      </c>
      <c r="C366" s="7" t="str">
        <f>'01 Product Master'!J366</f>
        <v/>
      </c>
      <c r="D366" s="7" t="str">
        <f>'01 Product Master'!K366</f>
        <v/>
      </c>
      <c r="E366" s="7" t="str">
        <f>'01 Product Master'!L366</f>
        <v/>
      </c>
      <c r="F366" s="7" t="str">
        <f>'01 Product Master'!M366</f>
        <v/>
      </c>
      <c r="G366" s="7" t="str">
        <f>'01 Product Master'!N366</f>
        <v/>
      </c>
      <c r="H366" s="7">
        <f>'01 Product Master'!O366</f>
        <v>0</v>
      </c>
      <c r="I366" s="7" t="str">
        <f>'01 Product Master'!P366</f>
        <v/>
      </c>
      <c r="J366" s="2" t="str">
        <f>'01 Product Master'!Q366</f>
        <v/>
      </c>
      <c r="K366" s="1"/>
    </row>
    <row r="367" spans="1:11" ht="16" x14ac:dyDescent="0.2">
      <c r="A367" s="1" t="str">
        <f>'01 Product Master'!A367</f>
        <v>SN-0366</v>
      </c>
      <c r="B367" s="1">
        <f>'01 Product Master'!C367</f>
        <v>0</v>
      </c>
      <c r="C367" s="7" t="str">
        <f>'01 Product Master'!J367</f>
        <v/>
      </c>
      <c r="D367" s="7" t="str">
        <f>'01 Product Master'!K367</f>
        <v/>
      </c>
      <c r="E367" s="7" t="str">
        <f>'01 Product Master'!L367</f>
        <v/>
      </c>
      <c r="F367" s="7" t="str">
        <f>'01 Product Master'!M367</f>
        <v/>
      </c>
      <c r="G367" s="7" t="str">
        <f>'01 Product Master'!N367</f>
        <v/>
      </c>
      <c r="H367" s="7">
        <f>'01 Product Master'!O367</f>
        <v>0</v>
      </c>
      <c r="I367" s="7" t="str">
        <f>'01 Product Master'!P367</f>
        <v/>
      </c>
      <c r="J367" s="2" t="str">
        <f>'01 Product Master'!Q367</f>
        <v/>
      </c>
      <c r="K367" s="1"/>
    </row>
    <row r="368" spans="1:11" ht="16" x14ac:dyDescent="0.2">
      <c r="A368" s="1" t="str">
        <f>'01 Product Master'!A368</f>
        <v>SN-0367</v>
      </c>
      <c r="B368" s="1">
        <f>'01 Product Master'!C368</f>
        <v>0</v>
      </c>
      <c r="C368" s="7" t="str">
        <f>'01 Product Master'!J368</f>
        <v/>
      </c>
      <c r="D368" s="7" t="str">
        <f>'01 Product Master'!K368</f>
        <v/>
      </c>
      <c r="E368" s="7" t="str">
        <f>'01 Product Master'!L368</f>
        <v/>
      </c>
      <c r="F368" s="7" t="str">
        <f>'01 Product Master'!M368</f>
        <v/>
      </c>
      <c r="G368" s="7" t="str">
        <f>'01 Product Master'!N368</f>
        <v/>
      </c>
      <c r="H368" s="7">
        <f>'01 Product Master'!O368</f>
        <v>0</v>
      </c>
      <c r="I368" s="7" t="str">
        <f>'01 Product Master'!P368</f>
        <v/>
      </c>
      <c r="J368" s="2" t="str">
        <f>'01 Product Master'!Q368</f>
        <v/>
      </c>
      <c r="K368" s="1"/>
    </row>
    <row r="369" spans="1:11" ht="16" x14ac:dyDescent="0.2">
      <c r="A369" s="1" t="str">
        <f>'01 Product Master'!A369</f>
        <v>SN-0368</v>
      </c>
      <c r="B369" s="1">
        <f>'01 Product Master'!C369</f>
        <v>0</v>
      </c>
      <c r="C369" s="7" t="str">
        <f>'01 Product Master'!J369</f>
        <v/>
      </c>
      <c r="D369" s="7" t="str">
        <f>'01 Product Master'!K369</f>
        <v/>
      </c>
      <c r="E369" s="7" t="str">
        <f>'01 Product Master'!L369</f>
        <v/>
      </c>
      <c r="F369" s="7" t="str">
        <f>'01 Product Master'!M369</f>
        <v/>
      </c>
      <c r="G369" s="7" t="str">
        <f>'01 Product Master'!N369</f>
        <v/>
      </c>
      <c r="H369" s="7">
        <f>'01 Product Master'!O369</f>
        <v>0</v>
      </c>
      <c r="I369" s="7" t="str">
        <f>'01 Product Master'!P369</f>
        <v/>
      </c>
      <c r="J369" s="2" t="str">
        <f>'01 Product Master'!Q369</f>
        <v/>
      </c>
      <c r="K369" s="1"/>
    </row>
    <row r="370" spans="1:11" ht="16" x14ac:dyDescent="0.2">
      <c r="A370" s="1" t="str">
        <f>'01 Product Master'!A370</f>
        <v>SN-0369</v>
      </c>
      <c r="B370" s="1">
        <f>'01 Product Master'!C370</f>
        <v>0</v>
      </c>
      <c r="C370" s="7" t="str">
        <f>'01 Product Master'!J370</f>
        <v/>
      </c>
      <c r="D370" s="7" t="str">
        <f>'01 Product Master'!K370</f>
        <v/>
      </c>
      <c r="E370" s="7" t="str">
        <f>'01 Product Master'!L370</f>
        <v/>
      </c>
      <c r="F370" s="7" t="str">
        <f>'01 Product Master'!M370</f>
        <v/>
      </c>
      <c r="G370" s="7" t="str">
        <f>'01 Product Master'!N370</f>
        <v/>
      </c>
      <c r="H370" s="7">
        <f>'01 Product Master'!O370</f>
        <v>0</v>
      </c>
      <c r="I370" s="7" t="str">
        <f>'01 Product Master'!P370</f>
        <v/>
      </c>
      <c r="J370" s="2" t="str">
        <f>'01 Product Master'!Q370</f>
        <v/>
      </c>
      <c r="K370" s="1"/>
    </row>
    <row r="371" spans="1:11" ht="16" x14ac:dyDescent="0.2">
      <c r="A371" s="1" t="str">
        <f>'01 Product Master'!A371</f>
        <v>SN-0370</v>
      </c>
      <c r="B371" s="1">
        <f>'01 Product Master'!C371</f>
        <v>0</v>
      </c>
      <c r="C371" s="7" t="str">
        <f>'01 Product Master'!J371</f>
        <v/>
      </c>
      <c r="D371" s="7" t="str">
        <f>'01 Product Master'!K371</f>
        <v/>
      </c>
      <c r="E371" s="7" t="str">
        <f>'01 Product Master'!L371</f>
        <v/>
      </c>
      <c r="F371" s="7" t="str">
        <f>'01 Product Master'!M371</f>
        <v/>
      </c>
      <c r="G371" s="7" t="str">
        <f>'01 Product Master'!N371</f>
        <v/>
      </c>
      <c r="H371" s="7">
        <f>'01 Product Master'!O371</f>
        <v>0</v>
      </c>
      <c r="I371" s="7" t="str">
        <f>'01 Product Master'!P371</f>
        <v/>
      </c>
      <c r="J371" s="2" t="str">
        <f>'01 Product Master'!Q371</f>
        <v/>
      </c>
      <c r="K371" s="1"/>
    </row>
    <row r="372" spans="1:11" ht="16" x14ac:dyDescent="0.2">
      <c r="A372" s="1" t="str">
        <f>'01 Product Master'!A372</f>
        <v>SN-0371</v>
      </c>
      <c r="B372" s="1">
        <f>'01 Product Master'!C372</f>
        <v>0</v>
      </c>
      <c r="C372" s="7" t="str">
        <f>'01 Product Master'!J372</f>
        <v/>
      </c>
      <c r="D372" s="7" t="str">
        <f>'01 Product Master'!K372</f>
        <v/>
      </c>
      <c r="E372" s="7" t="str">
        <f>'01 Product Master'!L372</f>
        <v/>
      </c>
      <c r="F372" s="7" t="str">
        <f>'01 Product Master'!M372</f>
        <v/>
      </c>
      <c r="G372" s="7" t="str">
        <f>'01 Product Master'!N372</f>
        <v/>
      </c>
      <c r="H372" s="7">
        <f>'01 Product Master'!O372</f>
        <v>0</v>
      </c>
      <c r="I372" s="7" t="str">
        <f>'01 Product Master'!P372</f>
        <v/>
      </c>
      <c r="J372" s="2" t="str">
        <f>'01 Product Master'!Q372</f>
        <v/>
      </c>
      <c r="K372" s="1"/>
    </row>
    <row r="373" spans="1:11" ht="16" x14ac:dyDescent="0.2">
      <c r="A373" s="1" t="str">
        <f>'01 Product Master'!A373</f>
        <v>SN-0372</v>
      </c>
      <c r="B373" s="1">
        <f>'01 Product Master'!C373</f>
        <v>0</v>
      </c>
      <c r="C373" s="7" t="str">
        <f>'01 Product Master'!J373</f>
        <v/>
      </c>
      <c r="D373" s="7" t="str">
        <f>'01 Product Master'!K373</f>
        <v/>
      </c>
      <c r="E373" s="7" t="str">
        <f>'01 Product Master'!L373</f>
        <v/>
      </c>
      <c r="F373" s="7" t="str">
        <f>'01 Product Master'!M373</f>
        <v/>
      </c>
      <c r="G373" s="7" t="str">
        <f>'01 Product Master'!N373</f>
        <v/>
      </c>
      <c r="H373" s="7">
        <f>'01 Product Master'!O373</f>
        <v>0</v>
      </c>
      <c r="I373" s="7" t="str">
        <f>'01 Product Master'!P373</f>
        <v/>
      </c>
      <c r="J373" s="2" t="str">
        <f>'01 Product Master'!Q373</f>
        <v/>
      </c>
      <c r="K373" s="1"/>
    </row>
    <row r="374" spans="1:11" ht="16" x14ac:dyDescent="0.2">
      <c r="A374" s="1" t="str">
        <f>'01 Product Master'!A374</f>
        <v>SN-0373</v>
      </c>
      <c r="B374" s="1">
        <f>'01 Product Master'!C374</f>
        <v>0</v>
      </c>
      <c r="C374" s="7" t="str">
        <f>'01 Product Master'!J374</f>
        <v/>
      </c>
      <c r="D374" s="7" t="str">
        <f>'01 Product Master'!K374</f>
        <v/>
      </c>
      <c r="E374" s="7" t="str">
        <f>'01 Product Master'!L374</f>
        <v/>
      </c>
      <c r="F374" s="7" t="str">
        <f>'01 Product Master'!M374</f>
        <v/>
      </c>
      <c r="G374" s="7" t="str">
        <f>'01 Product Master'!N374</f>
        <v/>
      </c>
      <c r="H374" s="7">
        <f>'01 Product Master'!O374</f>
        <v>0</v>
      </c>
      <c r="I374" s="7" t="str">
        <f>'01 Product Master'!P374</f>
        <v/>
      </c>
      <c r="J374" s="2" t="str">
        <f>'01 Product Master'!Q374</f>
        <v/>
      </c>
      <c r="K374" s="1"/>
    </row>
    <row r="375" spans="1:11" ht="16" x14ac:dyDescent="0.2">
      <c r="A375" s="1" t="str">
        <f>'01 Product Master'!A375</f>
        <v>SN-0374</v>
      </c>
      <c r="B375" s="1">
        <f>'01 Product Master'!C375</f>
        <v>0</v>
      </c>
      <c r="C375" s="7" t="str">
        <f>'01 Product Master'!J375</f>
        <v/>
      </c>
      <c r="D375" s="7" t="str">
        <f>'01 Product Master'!K375</f>
        <v/>
      </c>
      <c r="E375" s="7" t="str">
        <f>'01 Product Master'!L375</f>
        <v/>
      </c>
      <c r="F375" s="7" t="str">
        <f>'01 Product Master'!M375</f>
        <v/>
      </c>
      <c r="G375" s="7" t="str">
        <f>'01 Product Master'!N375</f>
        <v/>
      </c>
      <c r="H375" s="7">
        <f>'01 Product Master'!O375</f>
        <v>0</v>
      </c>
      <c r="I375" s="7" t="str">
        <f>'01 Product Master'!P375</f>
        <v/>
      </c>
      <c r="J375" s="2" t="str">
        <f>'01 Product Master'!Q375</f>
        <v/>
      </c>
      <c r="K375" s="1"/>
    </row>
    <row r="376" spans="1:11" ht="16" x14ac:dyDescent="0.2">
      <c r="A376" s="1" t="str">
        <f>'01 Product Master'!A376</f>
        <v>SN-0375</v>
      </c>
      <c r="B376" s="1">
        <f>'01 Product Master'!C376</f>
        <v>0</v>
      </c>
      <c r="C376" s="7" t="str">
        <f>'01 Product Master'!J376</f>
        <v/>
      </c>
      <c r="D376" s="7" t="str">
        <f>'01 Product Master'!K376</f>
        <v/>
      </c>
      <c r="E376" s="7" t="str">
        <f>'01 Product Master'!L376</f>
        <v/>
      </c>
      <c r="F376" s="7" t="str">
        <f>'01 Product Master'!M376</f>
        <v/>
      </c>
      <c r="G376" s="7" t="str">
        <f>'01 Product Master'!N376</f>
        <v/>
      </c>
      <c r="H376" s="7">
        <f>'01 Product Master'!O376</f>
        <v>0</v>
      </c>
      <c r="I376" s="7" t="str">
        <f>'01 Product Master'!P376</f>
        <v/>
      </c>
      <c r="J376" s="2" t="str">
        <f>'01 Product Master'!Q376</f>
        <v/>
      </c>
      <c r="K376" s="1"/>
    </row>
    <row r="377" spans="1:11" ht="16" x14ac:dyDescent="0.2">
      <c r="A377" s="1" t="str">
        <f>'01 Product Master'!A377</f>
        <v>SN-0376</v>
      </c>
      <c r="B377" s="1">
        <f>'01 Product Master'!C377</f>
        <v>0</v>
      </c>
      <c r="C377" s="7" t="str">
        <f>'01 Product Master'!J377</f>
        <v/>
      </c>
      <c r="D377" s="7" t="str">
        <f>'01 Product Master'!K377</f>
        <v/>
      </c>
      <c r="E377" s="7" t="str">
        <f>'01 Product Master'!L377</f>
        <v/>
      </c>
      <c r="F377" s="7" t="str">
        <f>'01 Product Master'!M377</f>
        <v/>
      </c>
      <c r="G377" s="7" t="str">
        <f>'01 Product Master'!N377</f>
        <v/>
      </c>
      <c r="H377" s="7">
        <f>'01 Product Master'!O377</f>
        <v>0</v>
      </c>
      <c r="I377" s="7" t="str">
        <f>'01 Product Master'!P377</f>
        <v/>
      </c>
      <c r="J377" s="2" t="str">
        <f>'01 Product Master'!Q377</f>
        <v/>
      </c>
      <c r="K377" s="1"/>
    </row>
    <row r="378" spans="1:11" ht="16" x14ac:dyDescent="0.2">
      <c r="A378" s="1" t="str">
        <f>'01 Product Master'!A378</f>
        <v>SN-0377</v>
      </c>
      <c r="B378" s="1">
        <f>'01 Product Master'!C378</f>
        <v>0</v>
      </c>
      <c r="C378" s="7" t="str">
        <f>'01 Product Master'!J378</f>
        <v/>
      </c>
      <c r="D378" s="7" t="str">
        <f>'01 Product Master'!K378</f>
        <v/>
      </c>
      <c r="E378" s="7" t="str">
        <f>'01 Product Master'!L378</f>
        <v/>
      </c>
      <c r="F378" s="7" t="str">
        <f>'01 Product Master'!M378</f>
        <v/>
      </c>
      <c r="G378" s="7" t="str">
        <f>'01 Product Master'!N378</f>
        <v/>
      </c>
      <c r="H378" s="7">
        <f>'01 Product Master'!O378</f>
        <v>0</v>
      </c>
      <c r="I378" s="7" t="str">
        <f>'01 Product Master'!P378</f>
        <v/>
      </c>
      <c r="J378" s="2" t="str">
        <f>'01 Product Master'!Q378</f>
        <v/>
      </c>
      <c r="K378" s="1"/>
    </row>
    <row r="379" spans="1:11" ht="16" x14ac:dyDescent="0.2">
      <c r="A379" s="1" t="str">
        <f>'01 Product Master'!A379</f>
        <v>SN-0378</v>
      </c>
      <c r="B379" s="1">
        <f>'01 Product Master'!C379</f>
        <v>0</v>
      </c>
      <c r="C379" s="7" t="str">
        <f>'01 Product Master'!J379</f>
        <v/>
      </c>
      <c r="D379" s="7" t="str">
        <f>'01 Product Master'!K379</f>
        <v/>
      </c>
      <c r="E379" s="7" t="str">
        <f>'01 Product Master'!L379</f>
        <v/>
      </c>
      <c r="F379" s="7" t="str">
        <f>'01 Product Master'!M379</f>
        <v/>
      </c>
      <c r="G379" s="7" t="str">
        <f>'01 Product Master'!N379</f>
        <v/>
      </c>
      <c r="H379" s="7">
        <f>'01 Product Master'!O379</f>
        <v>0</v>
      </c>
      <c r="I379" s="7" t="str">
        <f>'01 Product Master'!P379</f>
        <v/>
      </c>
      <c r="J379" s="2" t="str">
        <f>'01 Product Master'!Q379</f>
        <v/>
      </c>
      <c r="K379" s="1"/>
    </row>
    <row r="380" spans="1:11" ht="16" x14ac:dyDescent="0.2">
      <c r="A380" s="1" t="str">
        <f>'01 Product Master'!A380</f>
        <v>SN-0379</v>
      </c>
      <c r="B380" s="1">
        <f>'01 Product Master'!C380</f>
        <v>0</v>
      </c>
      <c r="C380" s="7" t="str">
        <f>'01 Product Master'!J380</f>
        <v/>
      </c>
      <c r="D380" s="7" t="str">
        <f>'01 Product Master'!K380</f>
        <v/>
      </c>
      <c r="E380" s="7" t="str">
        <f>'01 Product Master'!L380</f>
        <v/>
      </c>
      <c r="F380" s="7" t="str">
        <f>'01 Product Master'!M380</f>
        <v/>
      </c>
      <c r="G380" s="7" t="str">
        <f>'01 Product Master'!N380</f>
        <v/>
      </c>
      <c r="H380" s="7">
        <f>'01 Product Master'!O380</f>
        <v>0</v>
      </c>
      <c r="I380" s="7" t="str">
        <f>'01 Product Master'!P380</f>
        <v/>
      </c>
      <c r="J380" s="2" t="str">
        <f>'01 Product Master'!Q380</f>
        <v/>
      </c>
      <c r="K380" s="1"/>
    </row>
    <row r="381" spans="1:11" ht="16" x14ac:dyDescent="0.2">
      <c r="A381" s="1" t="str">
        <f>'01 Product Master'!A381</f>
        <v>SN-0380</v>
      </c>
      <c r="B381" s="1">
        <f>'01 Product Master'!C381</f>
        <v>0</v>
      </c>
      <c r="C381" s="7" t="str">
        <f>'01 Product Master'!J381</f>
        <v/>
      </c>
      <c r="D381" s="7" t="str">
        <f>'01 Product Master'!K381</f>
        <v/>
      </c>
      <c r="E381" s="7" t="str">
        <f>'01 Product Master'!L381</f>
        <v/>
      </c>
      <c r="F381" s="7" t="str">
        <f>'01 Product Master'!M381</f>
        <v/>
      </c>
      <c r="G381" s="7" t="str">
        <f>'01 Product Master'!N381</f>
        <v/>
      </c>
      <c r="H381" s="7">
        <f>'01 Product Master'!O381</f>
        <v>0</v>
      </c>
      <c r="I381" s="7" t="str">
        <f>'01 Product Master'!P381</f>
        <v/>
      </c>
      <c r="J381" s="2" t="str">
        <f>'01 Product Master'!Q381</f>
        <v/>
      </c>
      <c r="K381" s="1"/>
    </row>
    <row r="382" spans="1:11" ht="16" x14ac:dyDescent="0.2">
      <c r="A382" s="1" t="str">
        <f>'01 Product Master'!A382</f>
        <v>SN-0381</v>
      </c>
      <c r="B382" s="1">
        <f>'01 Product Master'!C382</f>
        <v>0</v>
      </c>
      <c r="C382" s="7" t="str">
        <f>'01 Product Master'!J382</f>
        <v/>
      </c>
      <c r="D382" s="7" t="str">
        <f>'01 Product Master'!K382</f>
        <v/>
      </c>
      <c r="E382" s="7" t="str">
        <f>'01 Product Master'!L382</f>
        <v/>
      </c>
      <c r="F382" s="7" t="str">
        <f>'01 Product Master'!M382</f>
        <v/>
      </c>
      <c r="G382" s="7" t="str">
        <f>'01 Product Master'!N382</f>
        <v/>
      </c>
      <c r="H382" s="7">
        <f>'01 Product Master'!O382</f>
        <v>0</v>
      </c>
      <c r="I382" s="7" t="str">
        <f>'01 Product Master'!P382</f>
        <v/>
      </c>
      <c r="J382" s="2" t="str">
        <f>'01 Product Master'!Q382</f>
        <v/>
      </c>
      <c r="K382" s="1"/>
    </row>
    <row r="383" spans="1:11" ht="16" x14ac:dyDescent="0.2">
      <c r="A383" s="1" t="str">
        <f>'01 Product Master'!A383</f>
        <v>SN-0382</v>
      </c>
      <c r="B383" s="1">
        <f>'01 Product Master'!C383</f>
        <v>0</v>
      </c>
      <c r="C383" s="7" t="str">
        <f>'01 Product Master'!J383</f>
        <v/>
      </c>
      <c r="D383" s="7" t="str">
        <f>'01 Product Master'!K383</f>
        <v/>
      </c>
      <c r="E383" s="7" t="str">
        <f>'01 Product Master'!L383</f>
        <v/>
      </c>
      <c r="F383" s="7" t="str">
        <f>'01 Product Master'!M383</f>
        <v/>
      </c>
      <c r="G383" s="7" t="str">
        <f>'01 Product Master'!N383</f>
        <v/>
      </c>
      <c r="H383" s="7">
        <f>'01 Product Master'!O383</f>
        <v>0</v>
      </c>
      <c r="I383" s="7" t="str">
        <f>'01 Product Master'!P383</f>
        <v/>
      </c>
      <c r="J383" s="2" t="str">
        <f>'01 Product Master'!Q383</f>
        <v/>
      </c>
      <c r="K383" s="1"/>
    </row>
    <row r="384" spans="1:11" ht="16" x14ac:dyDescent="0.2">
      <c r="A384" s="1" t="str">
        <f>'01 Product Master'!A384</f>
        <v>SN-0383</v>
      </c>
      <c r="B384" s="1">
        <f>'01 Product Master'!C384</f>
        <v>0</v>
      </c>
      <c r="C384" s="7" t="str">
        <f>'01 Product Master'!J384</f>
        <v/>
      </c>
      <c r="D384" s="7" t="str">
        <f>'01 Product Master'!K384</f>
        <v/>
      </c>
      <c r="E384" s="7" t="str">
        <f>'01 Product Master'!L384</f>
        <v/>
      </c>
      <c r="F384" s="7" t="str">
        <f>'01 Product Master'!M384</f>
        <v/>
      </c>
      <c r="G384" s="7" t="str">
        <f>'01 Product Master'!N384</f>
        <v/>
      </c>
      <c r="H384" s="7">
        <f>'01 Product Master'!O384</f>
        <v>0</v>
      </c>
      <c r="I384" s="7" t="str">
        <f>'01 Product Master'!P384</f>
        <v/>
      </c>
      <c r="J384" s="2" t="str">
        <f>'01 Product Master'!Q384</f>
        <v/>
      </c>
      <c r="K384" s="1"/>
    </row>
    <row r="385" spans="1:11" ht="16" x14ac:dyDescent="0.2">
      <c r="A385" s="1" t="str">
        <f>'01 Product Master'!A385</f>
        <v>SN-0384</v>
      </c>
      <c r="B385" s="1">
        <f>'01 Product Master'!C385</f>
        <v>0</v>
      </c>
      <c r="C385" s="7" t="str">
        <f>'01 Product Master'!J385</f>
        <v/>
      </c>
      <c r="D385" s="7" t="str">
        <f>'01 Product Master'!K385</f>
        <v/>
      </c>
      <c r="E385" s="7" t="str">
        <f>'01 Product Master'!L385</f>
        <v/>
      </c>
      <c r="F385" s="7" t="str">
        <f>'01 Product Master'!M385</f>
        <v/>
      </c>
      <c r="G385" s="7" t="str">
        <f>'01 Product Master'!N385</f>
        <v/>
      </c>
      <c r="H385" s="7">
        <f>'01 Product Master'!O385</f>
        <v>0</v>
      </c>
      <c r="I385" s="7" t="str">
        <f>'01 Product Master'!P385</f>
        <v/>
      </c>
      <c r="J385" s="2" t="str">
        <f>'01 Product Master'!Q385</f>
        <v/>
      </c>
      <c r="K385" s="1"/>
    </row>
    <row r="386" spans="1:11" ht="16" x14ac:dyDescent="0.2">
      <c r="A386" s="1" t="str">
        <f>'01 Product Master'!A386</f>
        <v>SN-0385</v>
      </c>
      <c r="B386" s="1">
        <f>'01 Product Master'!C386</f>
        <v>0</v>
      </c>
      <c r="C386" s="7" t="str">
        <f>'01 Product Master'!J386</f>
        <v/>
      </c>
      <c r="D386" s="7" t="str">
        <f>'01 Product Master'!K386</f>
        <v/>
      </c>
      <c r="E386" s="7" t="str">
        <f>'01 Product Master'!L386</f>
        <v/>
      </c>
      <c r="F386" s="7" t="str">
        <f>'01 Product Master'!M386</f>
        <v/>
      </c>
      <c r="G386" s="7" t="str">
        <f>'01 Product Master'!N386</f>
        <v/>
      </c>
      <c r="H386" s="7">
        <f>'01 Product Master'!O386</f>
        <v>0</v>
      </c>
      <c r="I386" s="7" t="str">
        <f>'01 Product Master'!P386</f>
        <v/>
      </c>
      <c r="J386" s="2" t="str">
        <f>'01 Product Master'!Q386</f>
        <v/>
      </c>
      <c r="K386" s="1"/>
    </row>
    <row r="387" spans="1:11" ht="16" x14ac:dyDescent="0.2">
      <c r="A387" s="1" t="str">
        <f>'01 Product Master'!A387</f>
        <v>SN-0386</v>
      </c>
      <c r="B387" s="1">
        <f>'01 Product Master'!C387</f>
        <v>0</v>
      </c>
      <c r="C387" s="7" t="str">
        <f>'01 Product Master'!J387</f>
        <v/>
      </c>
      <c r="D387" s="7" t="str">
        <f>'01 Product Master'!K387</f>
        <v/>
      </c>
      <c r="E387" s="7" t="str">
        <f>'01 Product Master'!L387</f>
        <v/>
      </c>
      <c r="F387" s="7" t="str">
        <f>'01 Product Master'!M387</f>
        <v/>
      </c>
      <c r="G387" s="7" t="str">
        <f>'01 Product Master'!N387</f>
        <v/>
      </c>
      <c r="H387" s="7">
        <f>'01 Product Master'!O387</f>
        <v>0</v>
      </c>
      <c r="I387" s="7" t="str">
        <f>'01 Product Master'!P387</f>
        <v/>
      </c>
      <c r="J387" s="2" t="str">
        <f>'01 Product Master'!Q387</f>
        <v/>
      </c>
      <c r="K387" s="1"/>
    </row>
    <row r="388" spans="1:11" ht="16" x14ac:dyDescent="0.2">
      <c r="A388" s="1" t="str">
        <f>'01 Product Master'!A388</f>
        <v>SN-0387</v>
      </c>
      <c r="B388" s="1">
        <f>'01 Product Master'!C388</f>
        <v>0</v>
      </c>
      <c r="C388" s="7" t="str">
        <f>'01 Product Master'!J388</f>
        <v/>
      </c>
      <c r="D388" s="7" t="str">
        <f>'01 Product Master'!K388</f>
        <v/>
      </c>
      <c r="E388" s="7" t="str">
        <f>'01 Product Master'!L388</f>
        <v/>
      </c>
      <c r="F388" s="7" t="str">
        <f>'01 Product Master'!M388</f>
        <v/>
      </c>
      <c r="G388" s="7" t="str">
        <f>'01 Product Master'!N388</f>
        <v/>
      </c>
      <c r="H388" s="7">
        <f>'01 Product Master'!O388</f>
        <v>0</v>
      </c>
      <c r="I388" s="7" t="str">
        <f>'01 Product Master'!P388</f>
        <v/>
      </c>
      <c r="J388" s="2" t="str">
        <f>'01 Product Master'!Q388</f>
        <v/>
      </c>
      <c r="K388" s="1"/>
    </row>
    <row r="389" spans="1:11" ht="16" x14ac:dyDescent="0.2">
      <c r="A389" s="1" t="str">
        <f>'01 Product Master'!A389</f>
        <v>SN-0388</v>
      </c>
      <c r="B389" s="1">
        <f>'01 Product Master'!C389</f>
        <v>0</v>
      </c>
      <c r="C389" s="7" t="str">
        <f>'01 Product Master'!J389</f>
        <v/>
      </c>
      <c r="D389" s="7" t="str">
        <f>'01 Product Master'!K389</f>
        <v/>
      </c>
      <c r="E389" s="7" t="str">
        <f>'01 Product Master'!L389</f>
        <v/>
      </c>
      <c r="F389" s="7" t="str">
        <f>'01 Product Master'!M389</f>
        <v/>
      </c>
      <c r="G389" s="7" t="str">
        <f>'01 Product Master'!N389</f>
        <v/>
      </c>
      <c r="H389" s="7">
        <f>'01 Product Master'!O389</f>
        <v>0</v>
      </c>
      <c r="I389" s="7" t="str">
        <f>'01 Product Master'!P389</f>
        <v/>
      </c>
      <c r="J389" s="2" t="str">
        <f>'01 Product Master'!Q389</f>
        <v/>
      </c>
      <c r="K389" s="1"/>
    </row>
    <row r="390" spans="1:11" ht="16" x14ac:dyDescent="0.2">
      <c r="A390" s="1" t="str">
        <f>'01 Product Master'!A390</f>
        <v>SN-0389</v>
      </c>
      <c r="B390" s="1">
        <f>'01 Product Master'!C390</f>
        <v>0</v>
      </c>
      <c r="C390" s="7" t="str">
        <f>'01 Product Master'!J390</f>
        <v/>
      </c>
      <c r="D390" s="7" t="str">
        <f>'01 Product Master'!K390</f>
        <v/>
      </c>
      <c r="E390" s="7" t="str">
        <f>'01 Product Master'!L390</f>
        <v/>
      </c>
      <c r="F390" s="7" t="str">
        <f>'01 Product Master'!M390</f>
        <v/>
      </c>
      <c r="G390" s="7" t="str">
        <f>'01 Product Master'!N390</f>
        <v/>
      </c>
      <c r="H390" s="7">
        <f>'01 Product Master'!O390</f>
        <v>0</v>
      </c>
      <c r="I390" s="7" t="str">
        <f>'01 Product Master'!P390</f>
        <v/>
      </c>
      <c r="J390" s="2" t="str">
        <f>'01 Product Master'!Q390</f>
        <v/>
      </c>
      <c r="K390" s="1"/>
    </row>
    <row r="391" spans="1:11" ht="16" x14ac:dyDescent="0.2">
      <c r="A391" s="1" t="str">
        <f>'01 Product Master'!A391</f>
        <v>SN-0390</v>
      </c>
      <c r="B391" s="1">
        <f>'01 Product Master'!C391</f>
        <v>0</v>
      </c>
      <c r="C391" s="7" t="str">
        <f>'01 Product Master'!J391</f>
        <v/>
      </c>
      <c r="D391" s="7" t="str">
        <f>'01 Product Master'!K391</f>
        <v/>
      </c>
      <c r="E391" s="7" t="str">
        <f>'01 Product Master'!L391</f>
        <v/>
      </c>
      <c r="F391" s="7" t="str">
        <f>'01 Product Master'!M391</f>
        <v/>
      </c>
      <c r="G391" s="7" t="str">
        <f>'01 Product Master'!N391</f>
        <v/>
      </c>
      <c r="H391" s="7">
        <f>'01 Product Master'!O391</f>
        <v>0</v>
      </c>
      <c r="I391" s="7" t="str">
        <f>'01 Product Master'!P391</f>
        <v/>
      </c>
      <c r="J391" s="2" t="str">
        <f>'01 Product Master'!Q391</f>
        <v/>
      </c>
      <c r="K391" s="1"/>
    </row>
    <row r="392" spans="1:11" ht="16" x14ac:dyDescent="0.2">
      <c r="A392" s="1" t="str">
        <f>'01 Product Master'!A392</f>
        <v>SN-0391</v>
      </c>
      <c r="B392" s="1">
        <f>'01 Product Master'!C392</f>
        <v>0</v>
      </c>
      <c r="C392" s="7" t="str">
        <f>'01 Product Master'!J392</f>
        <v/>
      </c>
      <c r="D392" s="7" t="str">
        <f>'01 Product Master'!K392</f>
        <v/>
      </c>
      <c r="E392" s="7" t="str">
        <f>'01 Product Master'!L392</f>
        <v/>
      </c>
      <c r="F392" s="7" t="str">
        <f>'01 Product Master'!M392</f>
        <v/>
      </c>
      <c r="G392" s="7" t="str">
        <f>'01 Product Master'!N392</f>
        <v/>
      </c>
      <c r="H392" s="7">
        <f>'01 Product Master'!O392</f>
        <v>0</v>
      </c>
      <c r="I392" s="7" t="str">
        <f>'01 Product Master'!P392</f>
        <v/>
      </c>
      <c r="J392" s="2" t="str">
        <f>'01 Product Master'!Q392</f>
        <v/>
      </c>
      <c r="K392" s="1"/>
    </row>
    <row r="393" spans="1:11" ht="16" x14ac:dyDescent="0.2">
      <c r="A393" s="1" t="str">
        <f>'01 Product Master'!A393</f>
        <v>SN-0392</v>
      </c>
      <c r="B393" s="1">
        <f>'01 Product Master'!C393</f>
        <v>0</v>
      </c>
      <c r="C393" s="7" t="str">
        <f>'01 Product Master'!J393</f>
        <v/>
      </c>
      <c r="D393" s="7" t="str">
        <f>'01 Product Master'!K393</f>
        <v/>
      </c>
      <c r="E393" s="7" t="str">
        <f>'01 Product Master'!L393</f>
        <v/>
      </c>
      <c r="F393" s="7" t="str">
        <f>'01 Product Master'!M393</f>
        <v/>
      </c>
      <c r="G393" s="7" t="str">
        <f>'01 Product Master'!N393</f>
        <v/>
      </c>
      <c r="H393" s="7">
        <f>'01 Product Master'!O393</f>
        <v>0</v>
      </c>
      <c r="I393" s="7" t="str">
        <f>'01 Product Master'!P393</f>
        <v/>
      </c>
      <c r="J393" s="2" t="str">
        <f>'01 Product Master'!Q393</f>
        <v/>
      </c>
      <c r="K393" s="1"/>
    </row>
    <row r="394" spans="1:11" ht="16" x14ac:dyDescent="0.2">
      <c r="A394" s="1" t="str">
        <f>'01 Product Master'!A394</f>
        <v>SN-0393</v>
      </c>
      <c r="B394" s="1">
        <f>'01 Product Master'!C394</f>
        <v>0</v>
      </c>
      <c r="C394" s="7" t="str">
        <f>'01 Product Master'!J394</f>
        <v/>
      </c>
      <c r="D394" s="7" t="str">
        <f>'01 Product Master'!K394</f>
        <v/>
      </c>
      <c r="E394" s="7" t="str">
        <f>'01 Product Master'!L394</f>
        <v/>
      </c>
      <c r="F394" s="7" t="str">
        <f>'01 Product Master'!M394</f>
        <v/>
      </c>
      <c r="G394" s="7" t="str">
        <f>'01 Product Master'!N394</f>
        <v/>
      </c>
      <c r="H394" s="7">
        <f>'01 Product Master'!O394</f>
        <v>0</v>
      </c>
      <c r="I394" s="7" t="str">
        <f>'01 Product Master'!P394</f>
        <v/>
      </c>
      <c r="J394" s="2" t="str">
        <f>'01 Product Master'!Q394</f>
        <v/>
      </c>
      <c r="K394" s="1"/>
    </row>
    <row r="395" spans="1:11" ht="16" x14ac:dyDescent="0.2">
      <c r="A395" s="1" t="str">
        <f>'01 Product Master'!A395</f>
        <v>SN-0394</v>
      </c>
      <c r="B395" s="1">
        <f>'01 Product Master'!C395</f>
        <v>0</v>
      </c>
      <c r="C395" s="7" t="str">
        <f>'01 Product Master'!J395</f>
        <v/>
      </c>
      <c r="D395" s="7" t="str">
        <f>'01 Product Master'!K395</f>
        <v/>
      </c>
      <c r="E395" s="7" t="str">
        <f>'01 Product Master'!L395</f>
        <v/>
      </c>
      <c r="F395" s="7" t="str">
        <f>'01 Product Master'!M395</f>
        <v/>
      </c>
      <c r="G395" s="7" t="str">
        <f>'01 Product Master'!N395</f>
        <v/>
      </c>
      <c r="H395" s="7">
        <f>'01 Product Master'!O395</f>
        <v>0</v>
      </c>
      <c r="I395" s="7" t="str">
        <f>'01 Product Master'!P395</f>
        <v/>
      </c>
      <c r="J395" s="2" t="str">
        <f>'01 Product Master'!Q395</f>
        <v/>
      </c>
      <c r="K395" s="1"/>
    </row>
    <row r="396" spans="1:11" ht="16" x14ac:dyDescent="0.2">
      <c r="A396" s="1" t="str">
        <f>'01 Product Master'!A396</f>
        <v>SN-0395</v>
      </c>
      <c r="B396" s="1">
        <f>'01 Product Master'!C396</f>
        <v>0</v>
      </c>
      <c r="C396" s="7" t="str">
        <f>'01 Product Master'!J396</f>
        <v/>
      </c>
      <c r="D396" s="7" t="str">
        <f>'01 Product Master'!K396</f>
        <v/>
      </c>
      <c r="E396" s="7" t="str">
        <f>'01 Product Master'!L396</f>
        <v/>
      </c>
      <c r="F396" s="7" t="str">
        <f>'01 Product Master'!M396</f>
        <v/>
      </c>
      <c r="G396" s="7" t="str">
        <f>'01 Product Master'!N396</f>
        <v/>
      </c>
      <c r="H396" s="7">
        <f>'01 Product Master'!O396</f>
        <v>0</v>
      </c>
      <c r="I396" s="7" t="str">
        <f>'01 Product Master'!P396</f>
        <v/>
      </c>
      <c r="J396" s="2" t="str">
        <f>'01 Product Master'!Q396</f>
        <v/>
      </c>
      <c r="K396" s="1"/>
    </row>
    <row r="397" spans="1:11" ht="16" x14ac:dyDescent="0.2">
      <c r="A397" s="1" t="str">
        <f>'01 Product Master'!A397</f>
        <v>SN-0396</v>
      </c>
      <c r="B397" s="1">
        <f>'01 Product Master'!C397</f>
        <v>0</v>
      </c>
      <c r="C397" s="7" t="str">
        <f>'01 Product Master'!J397</f>
        <v/>
      </c>
      <c r="D397" s="7" t="str">
        <f>'01 Product Master'!K397</f>
        <v/>
      </c>
      <c r="E397" s="7" t="str">
        <f>'01 Product Master'!L397</f>
        <v/>
      </c>
      <c r="F397" s="7" t="str">
        <f>'01 Product Master'!M397</f>
        <v/>
      </c>
      <c r="G397" s="7" t="str">
        <f>'01 Product Master'!N397</f>
        <v/>
      </c>
      <c r="H397" s="7">
        <f>'01 Product Master'!O397</f>
        <v>0</v>
      </c>
      <c r="I397" s="7" t="str">
        <f>'01 Product Master'!P397</f>
        <v/>
      </c>
      <c r="J397" s="2" t="str">
        <f>'01 Product Master'!Q397</f>
        <v/>
      </c>
      <c r="K397" s="1"/>
    </row>
    <row r="398" spans="1:11" ht="16" x14ac:dyDescent="0.2">
      <c r="A398" s="1" t="str">
        <f>'01 Product Master'!A398</f>
        <v>SN-0397</v>
      </c>
      <c r="B398" s="1">
        <f>'01 Product Master'!C398</f>
        <v>0</v>
      </c>
      <c r="C398" s="7" t="str">
        <f>'01 Product Master'!J398</f>
        <v/>
      </c>
      <c r="D398" s="7" t="str">
        <f>'01 Product Master'!K398</f>
        <v/>
      </c>
      <c r="E398" s="7" t="str">
        <f>'01 Product Master'!L398</f>
        <v/>
      </c>
      <c r="F398" s="7" t="str">
        <f>'01 Product Master'!M398</f>
        <v/>
      </c>
      <c r="G398" s="7" t="str">
        <f>'01 Product Master'!N398</f>
        <v/>
      </c>
      <c r="H398" s="7">
        <f>'01 Product Master'!O398</f>
        <v>0</v>
      </c>
      <c r="I398" s="7" t="str">
        <f>'01 Product Master'!P398</f>
        <v/>
      </c>
      <c r="J398" s="2" t="str">
        <f>'01 Product Master'!Q398</f>
        <v/>
      </c>
      <c r="K398" s="1"/>
    </row>
    <row r="399" spans="1:11" ht="16" x14ac:dyDescent="0.2">
      <c r="A399" s="1" t="str">
        <f>'01 Product Master'!A399</f>
        <v>SN-0398</v>
      </c>
      <c r="B399" s="1">
        <f>'01 Product Master'!C399</f>
        <v>0</v>
      </c>
      <c r="C399" s="7" t="str">
        <f>'01 Product Master'!J399</f>
        <v/>
      </c>
      <c r="D399" s="7" t="str">
        <f>'01 Product Master'!K399</f>
        <v/>
      </c>
      <c r="E399" s="7" t="str">
        <f>'01 Product Master'!L399</f>
        <v/>
      </c>
      <c r="F399" s="7" t="str">
        <f>'01 Product Master'!M399</f>
        <v/>
      </c>
      <c r="G399" s="7" t="str">
        <f>'01 Product Master'!N399</f>
        <v/>
      </c>
      <c r="H399" s="7">
        <f>'01 Product Master'!O399</f>
        <v>0</v>
      </c>
      <c r="I399" s="7" t="str">
        <f>'01 Product Master'!P399</f>
        <v/>
      </c>
      <c r="J399" s="2" t="str">
        <f>'01 Product Master'!Q399</f>
        <v/>
      </c>
      <c r="K399" s="1"/>
    </row>
    <row r="400" spans="1:11" ht="16" x14ac:dyDescent="0.2">
      <c r="A400" s="1" t="str">
        <f>'01 Product Master'!A400</f>
        <v>SN-0399</v>
      </c>
      <c r="B400" s="1">
        <f>'01 Product Master'!C400</f>
        <v>0</v>
      </c>
      <c r="C400" s="7" t="str">
        <f>'01 Product Master'!J400</f>
        <v/>
      </c>
      <c r="D400" s="7" t="str">
        <f>'01 Product Master'!K400</f>
        <v/>
      </c>
      <c r="E400" s="7" t="str">
        <f>'01 Product Master'!L400</f>
        <v/>
      </c>
      <c r="F400" s="7" t="str">
        <f>'01 Product Master'!M400</f>
        <v/>
      </c>
      <c r="G400" s="7" t="str">
        <f>'01 Product Master'!N400</f>
        <v/>
      </c>
      <c r="H400" s="7">
        <f>'01 Product Master'!O400</f>
        <v>0</v>
      </c>
      <c r="I400" s="7" t="str">
        <f>'01 Product Master'!P400</f>
        <v/>
      </c>
      <c r="J400" s="2" t="str">
        <f>'01 Product Master'!Q400</f>
        <v/>
      </c>
      <c r="K400" s="1"/>
    </row>
    <row r="401" spans="1:11" ht="16" x14ac:dyDescent="0.2">
      <c r="A401" s="1" t="str">
        <f>'01 Product Master'!A401</f>
        <v>SN-0400</v>
      </c>
      <c r="B401" s="1">
        <f>'01 Product Master'!C401</f>
        <v>0</v>
      </c>
      <c r="C401" s="7" t="str">
        <f>'01 Product Master'!J401</f>
        <v/>
      </c>
      <c r="D401" s="7" t="str">
        <f>'01 Product Master'!K401</f>
        <v/>
      </c>
      <c r="E401" s="7" t="str">
        <f>'01 Product Master'!L401</f>
        <v/>
      </c>
      <c r="F401" s="7" t="str">
        <f>'01 Product Master'!M401</f>
        <v/>
      </c>
      <c r="G401" s="7" t="str">
        <f>'01 Product Master'!N401</f>
        <v/>
      </c>
      <c r="H401" s="7">
        <f>'01 Product Master'!O401</f>
        <v>0</v>
      </c>
      <c r="I401" s="7" t="str">
        <f>'01 Product Master'!P401</f>
        <v/>
      </c>
      <c r="J401" s="2" t="str">
        <f>'01 Product Master'!Q401</f>
        <v/>
      </c>
      <c r="K401" s="1"/>
    </row>
    <row r="402" spans="1:11" ht="16" x14ac:dyDescent="0.2">
      <c r="A402" s="1" t="str">
        <f>'01 Product Master'!A402</f>
        <v>SN-0401</v>
      </c>
      <c r="B402" s="1">
        <f>'01 Product Master'!C402</f>
        <v>0</v>
      </c>
      <c r="C402" s="7" t="str">
        <f>'01 Product Master'!J402</f>
        <v/>
      </c>
      <c r="D402" s="7" t="str">
        <f>'01 Product Master'!K402</f>
        <v/>
      </c>
      <c r="E402" s="7" t="str">
        <f>'01 Product Master'!L402</f>
        <v/>
      </c>
      <c r="F402" s="7" t="str">
        <f>'01 Product Master'!M402</f>
        <v/>
      </c>
      <c r="G402" s="7" t="str">
        <f>'01 Product Master'!N402</f>
        <v/>
      </c>
      <c r="H402" s="7">
        <f>'01 Product Master'!O402</f>
        <v>0</v>
      </c>
      <c r="I402" s="7" t="str">
        <f>'01 Product Master'!P402</f>
        <v/>
      </c>
      <c r="J402" s="2" t="str">
        <f>'01 Product Master'!Q402</f>
        <v/>
      </c>
      <c r="K402" s="1"/>
    </row>
    <row r="403" spans="1:11" ht="16" x14ac:dyDescent="0.2">
      <c r="A403" s="1" t="str">
        <f>'01 Product Master'!A403</f>
        <v>SN-0402</v>
      </c>
      <c r="B403" s="1">
        <f>'01 Product Master'!C403</f>
        <v>0</v>
      </c>
      <c r="C403" s="7" t="str">
        <f>'01 Product Master'!J403</f>
        <v/>
      </c>
      <c r="D403" s="7" t="str">
        <f>'01 Product Master'!K403</f>
        <v/>
      </c>
      <c r="E403" s="7" t="str">
        <f>'01 Product Master'!L403</f>
        <v/>
      </c>
      <c r="F403" s="7" t="str">
        <f>'01 Product Master'!M403</f>
        <v/>
      </c>
      <c r="G403" s="7" t="str">
        <f>'01 Product Master'!N403</f>
        <v/>
      </c>
      <c r="H403" s="7">
        <f>'01 Product Master'!O403</f>
        <v>0</v>
      </c>
      <c r="I403" s="7" t="str">
        <f>'01 Product Master'!P403</f>
        <v/>
      </c>
      <c r="J403" s="2" t="str">
        <f>'01 Product Master'!Q403</f>
        <v/>
      </c>
      <c r="K403" s="1"/>
    </row>
    <row r="404" spans="1:11" ht="16" x14ac:dyDescent="0.2">
      <c r="A404" s="1" t="str">
        <f>'01 Product Master'!A404</f>
        <v>SN-0403</v>
      </c>
      <c r="B404" s="1">
        <f>'01 Product Master'!C404</f>
        <v>0</v>
      </c>
      <c r="C404" s="7" t="str">
        <f>'01 Product Master'!J404</f>
        <v/>
      </c>
      <c r="D404" s="7" t="str">
        <f>'01 Product Master'!K404</f>
        <v/>
      </c>
      <c r="E404" s="7" t="str">
        <f>'01 Product Master'!L404</f>
        <v/>
      </c>
      <c r="F404" s="7" t="str">
        <f>'01 Product Master'!M404</f>
        <v/>
      </c>
      <c r="G404" s="7" t="str">
        <f>'01 Product Master'!N404</f>
        <v/>
      </c>
      <c r="H404" s="7">
        <f>'01 Product Master'!O404</f>
        <v>0</v>
      </c>
      <c r="I404" s="7" t="str">
        <f>'01 Product Master'!P404</f>
        <v/>
      </c>
      <c r="J404" s="2" t="str">
        <f>'01 Product Master'!Q404</f>
        <v/>
      </c>
      <c r="K404" s="1"/>
    </row>
    <row r="405" spans="1:11" ht="16" x14ac:dyDescent="0.2">
      <c r="A405" s="1" t="str">
        <f>'01 Product Master'!A405</f>
        <v>SN-0404</v>
      </c>
      <c r="B405" s="1">
        <f>'01 Product Master'!C405</f>
        <v>0</v>
      </c>
      <c r="C405" s="7" t="str">
        <f>'01 Product Master'!J405</f>
        <v/>
      </c>
      <c r="D405" s="7" t="str">
        <f>'01 Product Master'!K405</f>
        <v/>
      </c>
      <c r="E405" s="7" t="str">
        <f>'01 Product Master'!L405</f>
        <v/>
      </c>
      <c r="F405" s="7" t="str">
        <f>'01 Product Master'!M405</f>
        <v/>
      </c>
      <c r="G405" s="7" t="str">
        <f>'01 Product Master'!N405</f>
        <v/>
      </c>
      <c r="H405" s="7">
        <f>'01 Product Master'!O405</f>
        <v>0</v>
      </c>
      <c r="I405" s="7" t="str">
        <f>'01 Product Master'!P405</f>
        <v/>
      </c>
      <c r="J405" s="2" t="str">
        <f>'01 Product Master'!Q405</f>
        <v/>
      </c>
      <c r="K405" s="1"/>
    </row>
    <row r="406" spans="1:11" ht="16" x14ac:dyDescent="0.2">
      <c r="A406" s="1" t="str">
        <f>'01 Product Master'!A406</f>
        <v>SN-0405</v>
      </c>
      <c r="B406" s="1">
        <f>'01 Product Master'!C406</f>
        <v>0</v>
      </c>
      <c r="C406" s="7" t="str">
        <f>'01 Product Master'!J406</f>
        <v/>
      </c>
      <c r="D406" s="7" t="str">
        <f>'01 Product Master'!K406</f>
        <v/>
      </c>
      <c r="E406" s="7" t="str">
        <f>'01 Product Master'!L406</f>
        <v/>
      </c>
      <c r="F406" s="7" t="str">
        <f>'01 Product Master'!M406</f>
        <v/>
      </c>
      <c r="G406" s="7" t="str">
        <f>'01 Product Master'!N406</f>
        <v/>
      </c>
      <c r="H406" s="7">
        <f>'01 Product Master'!O406</f>
        <v>0</v>
      </c>
      <c r="I406" s="7" t="str">
        <f>'01 Product Master'!P406</f>
        <v/>
      </c>
      <c r="J406" s="2" t="str">
        <f>'01 Product Master'!Q406</f>
        <v/>
      </c>
      <c r="K406" s="1"/>
    </row>
    <row r="407" spans="1:11" ht="16" x14ac:dyDescent="0.2">
      <c r="A407" s="1" t="str">
        <f>'01 Product Master'!A407</f>
        <v>SN-0406</v>
      </c>
      <c r="B407" s="1">
        <f>'01 Product Master'!C407</f>
        <v>0</v>
      </c>
      <c r="C407" s="7" t="str">
        <f>'01 Product Master'!J407</f>
        <v/>
      </c>
      <c r="D407" s="7" t="str">
        <f>'01 Product Master'!K407</f>
        <v/>
      </c>
      <c r="E407" s="7" t="str">
        <f>'01 Product Master'!L407</f>
        <v/>
      </c>
      <c r="F407" s="7" t="str">
        <f>'01 Product Master'!M407</f>
        <v/>
      </c>
      <c r="G407" s="7" t="str">
        <f>'01 Product Master'!N407</f>
        <v/>
      </c>
      <c r="H407" s="7">
        <f>'01 Product Master'!O407</f>
        <v>0</v>
      </c>
      <c r="I407" s="7" t="str">
        <f>'01 Product Master'!P407</f>
        <v/>
      </c>
      <c r="J407" s="2" t="str">
        <f>'01 Product Master'!Q407</f>
        <v/>
      </c>
      <c r="K407" s="1"/>
    </row>
    <row r="408" spans="1:11" ht="16" x14ac:dyDescent="0.2">
      <c r="A408" s="1" t="str">
        <f>'01 Product Master'!A408</f>
        <v>SN-0407</v>
      </c>
      <c r="B408" s="1">
        <f>'01 Product Master'!C408</f>
        <v>0</v>
      </c>
      <c r="C408" s="7" t="str">
        <f>'01 Product Master'!J408</f>
        <v/>
      </c>
      <c r="D408" s="7" t="str">
        <f>'01 Product Master'!K408</f>
        <v/>
      </c>
      <c r="E408" s="7" t="str">
        <f>'01 Product Master'!L408</f>
        <v/>
      </c>
      <c r="F408" s="7" t="str">
        <f>'01 Product Master'!M408</f>
        <v/>
      </c>
      <c r="G408" s="7" t="str">
        <f>'01 Product Master'!N408</f>
        <v/>
      </c>
      <c r="H408" s="7">
        <f>'01 Product Master'!O408</f>
        <v>0</v>
      </c>
      <c r="I408" s="7" t="str">
        <f>'01 Product Master'!P408</f>
        <v/>
      </c>
      <c r="J408" s="2" t="str">
        <f>'01 Product Master'!Q408</f>
        <v/>
      </c>
      <c r="K408" s="1"/>
    </row>
    <row r="409" spans="1:11" ht="16" x14ac:dyDescent="0.2">
      <c r="A409" s="1" t="str">
        <f>'01 Product Master'!A409</f>
        <v>SN-0408</v>
      </c>
      <c r="B409" s="1">
        <f>'01 Product Master'!C409</f>
        <v>0</v>
      </c>
      <c r="C409" s="7" t="str">
        <f>'01 Product Master'!J409</f>
        <v/>
      </c>
      <c r="D409" s="7" t="str">
        <f>'01 Product Master'!K409</f>
        <v/>
      </c>
      <c r="E409" s="7" t="str">
        <f>'01 Product Master'!L409</f>
        <v/>
      </c>
      <c r="F409" s="7" t="str">
        <f>'01 Product Master'!M409</f>
        <v/>
      </c>
      <c r="G409" s="7" t="str">
        <f>'01 Product Master'!N409</f>
        <v/>
      </c>
      <c r="H409" s="7">
        <f>'01 Product Master'!O409</f>
        <v>0</v>
      </c>
      <c r="I409" s="7" t="str">
        <f>'01 Product Master'!P409</f>
        <v/>
      </c>
      <c r="J409" s="2" t="str">
        <f>'01 Product Master'!Q409</f>
        <v/>
      </c>
      <c r="K409" s="1"/>
    </row>
    <row r="410" spans="1:11" ht="16" x14ac:dyDescent="0.2">
      <c r="A410" s="1" t="str">
        <f>'01 Product Master'!A410</f>
        <v>SN-0409</v>
      </c>
      <c r="B410" s="1">
        <f>'01 Product Master'!C410</f>
        <v>0</v>
      </c>
      <c r="C410" s="7" t="str">
        <f>'01 Product Master'!J410</f>
        <v/>
      </c>
      <c r="D410" s="7" t="str">
        <f>'01 Product Master'!K410</f>
        <v/>
      </c>
      <c r="E410" s="7" t="str">
        <f>'01 Product Master'!L410</f>
        <v/>
      </c>
      <c r="F410" s="7" t="str">
        <f>'01 Product Master'!M410</f>
        <v/>
      </c>
      <c r="G410" s="7" t="str">
        <f>'01 Product Master'!N410</f>
        <v/>
      </c>
      <c r="H410" s="7">
        <f>'01 Product Master'!O410</f>
        <v>0</v>
      </c>
      <c r="I410" s="7" t="str">
        <f>'01 Product Master'!P410</f>
        <v/>
      </c>
      <c r="J410" s="2" t="str">
        <f>'01 Product Master'!Q410</f>
        <v/>
      </c>
      <c r="K410" s="1"/>
    </row>
    <row r="411" spans="1:11" ht="16" x14ac:dyDescent="0.2">
      <c r="A411" s="1" t="str">
        <f>'01 Product Master'!A411</f>
        <v>SN-0410</v>
      </c>
      <c r="B411" s="1">
        <f>'01 Product Master'!C411</f>
        <v>0</v>
      </c>
      <c r="C411" s="7" t="str">
        <f>'01 Product Master'!J411</f>
        <v/>
      </c>
      <c r="D411" s="7" t="str">
        <f>'01 Product Master'!K411</f>
        <v/>
      </c>
      <c r="E411" s="7" t="str">
        <f>'01 Product Master'!L411</f>
        <v/>
      </c>
      <c r="F411" s="7" t="str">
        <f>'01 Product Master'!M411</f>
        <v/>
      </c>
      <c r="G411" s="7" t="str">
        <f>'01 Product Master'!N411</f>
        <v/>
      </c>
      <c r="H411" s="7">
        <f>'01 Product Master'!O411</f>
        <v>0</v>
      </c>
      <c r="I411" s="7" t="str">
        <f>'01 Product Master'!P411</f>
        <v/>
      </c>
      <c r="J411" s="2" t="str">
        <f>'01 Product Master'!Q411</f>
        <v/>
      </c>
      <c r="K411" s="1"/>
    </row>
    <row r="412" spans="1:11" ht="16" x14ac:dyDescent="0.2">
      <c r="A412" s="1" t="str">
        <f>'01 Product Master'!A412</f>
        <v>SN-0411</v>
      </c>
      <c r="B412" s="1">
        <f>'01 Product Master'!C412</f>
        <v>0</v>
      </c>
      <c r="C412" s="7" t="str">
        <f>'01 Product Master'!J412</f>
        <v/>
      </c>
      <c r="D412" s="7" t="str">
        <f>'01 Product Master'!K412</f>
        <v/>
      </c>
      <c r="E412" s="7" t="str">
        <f>'01 Product Master'!L412</f>
        <v/>
      </c>
      <c r="F412" s="7" t="str">
        <f>'01 Product Master'!M412</f>
        <v/>
      </c>
      <c r="G412" s="7" t="str">
        <f>'01 Product Master'!N412</f>
        <v/>
      </c>
      <c r="H412" s="7">
        <f>'01 Product Master'!O412</f>
        <v>0</v>
      </c>
      <c r="I412" s="7" t="str">
        <f>'01 Product Master'!P412</f>
        <v/>
      </c>
      <c r="J412" s="2" t="str">
        <f>'01 Product Master'!Q412</f>
        <v/>
      </c>
      <c r="K412" s="1"/>
    </row>
    <row r="413" spans="1:11" ht="16" x14ac:dyDescent="0.2">
      <c r="A413" s="1" t="str">
        <f>'01 Product Master'!A413</f>
        <v>SN-0412</v>
      </c>
      <c r="B413" s="1">
        <f>'01 Product Master'!C413</f>
        <v>0</v>
      </c>
      <c r="C413" s="7" t="str">
        <f>'01 Product Master'!J413</f>
        <v/>
      </c>
      <c r="D413" s="7" t="str">
        <f>'01 Product Master'!K413</f>
        <v/>
      </c>
      <c r="E413" s="7" t="str">
        <f>'01 Product Master'!L413</f>
        <v/>
      </c>
      <c r="F413" s="7" t="str">
        <f>'01 Product Master'!M413</f>
        <v/>
      </c>
      <c r="G413" s="7" t="str">
        <f>'01 Product Master'!N413</f>
        <v/>
      </c>
      <c r="H413" s="7">
        <f>'01 Product Master'!O413</f>
        <v>0</v>
      </c>
      <c r="I413" s="7" t="str">
        <f>'01 Product Master'!P413</f>
        <v/>
      </c>
      <c r="J413" s="2" t="str">
        <f>'01 Product Master'!Q413</f>
        <v/>
      </c>
      <c r="K413" s="1"/>
    </row>
    <row r="414" spans="1:11" ht="16" x14ac:dyDescent="0.2">
      <c r="A414" s="1" t="str">
        <f>'01 Product Master'!A414</f>
        <v>SN-0413</v>
      </c>
      <c r="B414" s="1">
        <f>'01 Product Master'!C414</f>
        <v>0</v>
      </c>
      <c r="C414" s="7" t="str">
        <f>'01 Product Master'!J414</f>
        <v/>
      </c>
      <c r="D414" s="7" t="str">
        <f>'01 Product Master'!K414</f>
        <v/>
      </c>
      <c r="E414" s="7" t="str">
        <f>'01 Product Master'!L414</f>
        <v/>
      </c>
      <c r="F414" s="7" t="str">
        <f>'01 Product Master'!M414</f>
        <v/>
      </c>
      <c r="G414" s="7" t="str">
        <f>'01 Product Master'!N414</f>
        <v/>
      </c>
      <c r="H414" s="7">
        <f>'01 Product Master'!O414</f>
        <v>0</v>
      </c>
      <c r="I414" s="7" t="str">
        <f>'01 Product Master'!P414</f>
        <v/>
      </c>
      <c r="J414" s="2" t="str">
        <f>'01 Product Master'!Q414</f>
        <v/>
      </c>
      <c r="K414" s="1"/>
    </row>
    <row r="415" spans="1:11" ht="16" x14ac:dyDescent="0.2">
      <c r="A415" s="1" t="str">
        <f>'01 Product Master'!A415</f>
        <v>SN-0414</v>
      </c>
      <c r="B415" s="1">
        <f>'01 Product Master'!C415</f>
        <v>0</v>
      </c>
      <c r="C415" s="7" t="str">
        <f>'01 Product Master'!J415</f>
        <v/>
      </c>
      <c r="D415" s="7" t="str">
        <f>'01 Product Master'!K415</f>
        <v/>
      </c>
      <c r="E415" s="7" t="str">
        <f>'01 Product Master'!L415</f>
        <v/>
      </c>
      <c r="F415" s="7" t="str">
        <f>'01 Product Master'!M415</f>
        <v/>
      </c>
      <c r="G415" s="7" t="str">
        <f>'01 Product Master'!N415</f>
        <v/>
      </c>
      <c r="H415" s="7">
        <f>'01 Product Master'!O415</f>
        <v>0</v>
      </c>
      <c r="I415" s="7" t="str">
        <f>'01 Product Master'!P415</f>
        <v/>
      </c>
      <c r="J415" s="2" t="str">
        <f>'01 Product Master'!Q415</f>
        <v/>
      </c>
      <c r="K415" s="1"/>
    </row>
    <row r="416" spans="1:11" ht="16" x14ac:dyDescent="0.2">
      <c r="A416" s="1" t="str">
        <f>'01 Product Master'!A416</f>
        <v>SN-0415</v>
      </c>
      <c r="B416" s="1">
        <f>'01 Product Master'!C416</f>
        <v>0</v>
      </c>
      <c r="C416" s="7" t="str">
        <f>'01 Product Master'!J416</f>
        <v/>
      </c>
      <c r="D416" s="7" t="str">
        <f>'01 Product Master'!K416</f>
        <v/>
      </c>
      <c r="E416" s="7" t="str">
        <f>'01 Product Master'!L416</f>
        <v/>
      </c>
      <c r="F416" s="7" t="str">
        <f>'01 Product Master'!M416</f>
        <v/>
      </c>
      <c r="G416" s="7" t="str">
        <f>'01 Product Master'!N416</f>
        <v/>
      </c>
      <c r="H416" s="7">
        <f>'01 Product Master'!O416</f>
        <v>0</v>
      </c>
      <c r="I416" s="7" t="str">
        <f>'01 Product Master'!P416</f>
        <v/>
      </c>
      <c r="J416" s="2" t="str">
        <f>'01 Product Master'!Q416</f>
        <v/>
      </c>
      <c r="K416" s="1"/>
    </row>
    <row r="417" spans="1:11" ht="16" x14ac:dyDescent="0.2">
      <c r="A417" s="1" t="str">
        <f>'01 Product Master'!A417</f>
        <v>SN-0416</v>
      </c>
      <c r="B417" s="1">
        <f>'01 Product Master'!C417</f>
        <v>0</v>
      </c>
      <c r="C417" s="7" t="str">
        <f>'01 Product Master'!J417</f>
        <v/>
      </c>
      <c r="D417" s="7" t="str">
        <f>'01 Product Master'!K417</f>
        <v/>
      </c>
      <c r="E417" s="7" t="str">
        <f>'01 Product Master'!L417</f>
        <v/>
      </c>
      <c r="F417" s="7" t="str">
        <f>'01 Product Master'!M417</f>
        <v/>
      </c>
      <c r="G417" s="7" t="str">
        <f>'01 Product Master'!N417</f>
        <v/>
      </c>
      <c r="H417" s="7">
        <f>'01 Product Master'!O417</f>
        <v>0</v>
      </c>
      <c r="I417" s="7" t="str">
        <f>'01 Product Master'!P417</f>
        <v/>
      </c>
      <c r="J417" s="2" t="str">
        <f>'01 Product Master'!Q417</f>
        <v/>
      </c>
      <c r="K417" s="1"/>
    </row>
    <row r="418" spans="1:11" ht="16" x14ac:dyDescent="0.2">
      <c r="A418" s="1" t="str">
        <f>'01 Product Master'!A418</f>
        <v>SN-0417</v>
      </c>
      <c r="B418" s="1">
        <f>'01 Product Master'!C418</f>
        <v>0</v>
      </c>
      <c r="C418" s="7" t="str">
        <f>'01 Product Master'!J418</f>
        <v/>
      </c>
      <c r="D418" s="7" t="str">
        <f>'01 Product Master'!K418</f>
        <v/>
      </c>
      <c r="E418" s="7" t="str">
        <f>'01 Product Master'!L418</f>
        <v/>
      </c>
      <c r="F418" s="7" t="str">
        <f>'01 Product Master'!M418</f>
        <v/>
      </c>
      <c r="G418" s="7" t="str">
        <f>'01 Product Master'!N418</f>
        <v/>
      </c>
      <c r="H418" s="7">
        <f>'01 Product Master'!O418</f>
        <v>0</v>
      </c>
      <c r="I418" s="7" t="str">
        <f>'01 Product Master'!P418</f>
        <v/>
      </c>
      <c r="J418" s="2" t="str">
        <f>'01 Product Master'!Q418</f>
        <v/>
      </c>
      <c r="K418" s="1"/>
    </row>
    <row r="419" spans="1:11" ht="16" x14ac:dyDescent="0.2">
      <c r="A419" s="1" t="str">
        <f>'01 Product Master'!A419</f>
        <v>SN-0418</v>
      </c>
      <c r="B419" s="1">
        <f>'01 Product Master'!C419</f>
        <v>0</v>
      </c>
      <c r="C419" s="7" t="str">
        <f>'01 Product Master'!J419</f>
        <v/>
      </c>
      <c r="D419" s="7" t="str">
        <f>'01 Product Master'!K419</f>
        <v/>
      </c>
      <c r="E419" s="7" t="str">
        <f>'01 Product Master'!L419</f>
        <v/>
      </c>
      <c r="F419" s="7" t="str">
        <f>'01 Product Master'!M419</f>
        <v/>
      </c>
      <c r="G419" s="7" t="str">
        <f>'01 Product Master'!N419</f>
        <v/>
      </c>
      <c r="H419" s="7">
        <f>'01 Product Master'!O419</f>
        <v>0</v>
      </c>
      <c r="I419" s="7" t="str">
        <f>'01 Product Master'!P419</f>
        <v/>
      </c>
      <c r="J419" s="2" t="str">
        <f>'01 Product Master'!Q419</f>
        <v/>
      </c>
      <c r="K419" s="1"/>
    </row>
    <row r="420" spans="1:11" ht="16" x14ac:dyDescent="0.2">
      <c r="A420" s="1" t="str">
        <f>'01 Product Master'!A420</f>
        <v>SN-0419</v>
      </c>
      <c r="B420" s="1">
        <f>'01 Product Master'!C420</f>
        <v>0</v>
      </c>
      <c r="C420" s="7" t="str">
        <f>'01 Product Master'!J420</f>
        <v/>
      </c>
      <c r="D420" s="7" t="str">
        <f>'01 Product Master'!K420</f>
        <v/>
      </c>
      <c r="E420" s="7" t="str">
        <f>'01 Product Master'!L420</f>
        <v/>
      </c>
      <c r="F420" s="7" t="str">
        <f>'01 Product Master'!M420</f>
        <v/>
      </c>
      <c r="G420" s="7" t="str">
        <f>'01 Product Master'!N420</f>
        <v/>
      </c>
      <c r="H420" s="7">
        <f>'01 Product Master'!O420</f>
        <v>0</v>
      </c>
      <c r="I420" s="7" t="str">
        <f>'01 Product Master'!P420</f>
        <v/>
      </c>
      <c r="J420" s="2" t="str">
        <f>'01 Product Master'!Q420</f>
        <v/>
      </c>
      <c r="K420" s="1"/>
    </row>
    <row r="421" spans="1:11" ht="16" x14ac:dyDescent="0.2">
      <c r="A421" s="1" t="str">
        <f>'01 Product Master'!A421</f>
        <v>SN-0420</v>
      </c>
      <c r="B421" s="1">
        <f>'01 Product Master'!C421</f>
        <v>0</v>
      </c>
      <c r="C421" s="7" t="str">
        <f>'01 Product Master'!J421</f>
        <v/>
      </c>
      <c r="D421" s="7" t="str">
        <f>'01 Product Master'!K421</f>
        <v/>
      </c>
      <c r="E421" s="7" t="str">
        <f>'01 Product Master'!L421</f>
        <v/>
      </c>
      <c r="F421" s="7" t="str">
        <f>'01 Product Master'!M421</f>
        <v/>
      </c>
      <c r="G421" s="7" t="str">
        <f>'01 Product Master'!N421</f>
        <v/>
      </c>
      <c r="H421" s="7">
        <f>'01 Product Master'!O421</f>
        <v>0</v>
      </c>
      <c r="I421" s="7" t="str">
        <f>'01 Product Master'!P421</f>
        <v/>
      </c>
      <c r="J421" s="2" t="str">
        <f>'01 Product Master'!Q421</f>
        <v/>
      </c>
      <c r="K421" s="1"/>
    </row>
    <row r="422" spans="1:11" ht="16" x14ac:dyDescent="0.2">
      <c r="A422" s="1" t="str">
        <f>'01 Product Master'!A422</f>
        <v>SN-0421</v>
      </c>
      <c r="B422" s="1">
        <f>'01 Product Master'!C422</f>
        <v>0</v>
      </c>
      <c r="C422" s="7" t="str">
        <f>'01 Product Master'!J422</f>
        <v/>
      </c>
      <c r="D422" s="7" t="str">
        <f>'01 Product Master'!K422</f>
        <v/>
      </c>
      <c r="E422" s="7" t="str">
        <f>'01 Product Master'!L422</f>
        <v/>
      </c>
      <c r="F422" s="7" t="str">
        <f>'01 Product Master'!M422</f>
        <v/>
      </c>
      <c r="G422" s="7" t="str">
        <f>'01 Product Master'!N422</f>
        <v/>
      </c>
      <c r="H422" s="7">
        <f>'01 Product Master'!O422</f>
        <v>0</v>
      </c>
      <c r="I422" s="7" t="str">
        <f>'01 Product Master'!P422</f>
        <v/>
      </c>
      <c r="J422" s="2" t="str">
        <f>'01 Product Master'!Q422</f>
        <v/>
      </c>
      <c r="K422" s="1"/>
    </row>
    <row r="423" spans="1:11" ht="16" x14ac:dyDescent="0.2">
      <c r="A423" s="1" t="str">
        <f>'01 Product Master'!A423</f>
        <v>SN-0422</v>
      </c>
      <c r="B423" s="1">
        <f>'01 Product Master'!C423</f>
        <v>0</v>
      </c>
      <c r="C423" s="7" t="str">
        <f>'01 Product Master'!J423</f>
        <v/>
      </c>
      <c r="D423" s="7" t="str">
        <f>'01 Product Master'!K423</f>
        <v/>
      </c>
      <c r="E423" s="7" t="str">
        <f>'01 Product Master'!L423</f>
        <v/>
      </c>
      <c r="F423" s="7" t="str">
        <f>'01 Product Master'!M423</f>
        <v/>
      </c>
      <c r="G423" s="7" t="str">
        <f>'01 Product Master'!N423</f>
        <v/>
      </c>
      <c r="H423" s="7">
        <f>'01 Product Master'!O423</f>
        <v>0</v>
      </c>
      <c r="I423" s="7" t="str">
        <f>'01 Product Master'!P423</f>
        <v/>
      </c>
      <c r="J423" s="2" t="str">
        <f>'01 Product Master'!Q423</f>
        <v/>
      </c>
      <c r="K423" s="1"/>
    </row>
    <row r="424" spans="1:11" ht="16" x14ac:dyDescent="0.2">
      <c r="A424" s="1" t="str">
        <f>'01 Product Master'!A424</f>
        <v>SN-0423</v>
      </c>
      <c r="B424" s="1">
        <f>'01 Product Master'!C424</f>
        <v>0</v>
      </c>
      <c r="C424" s="7" t="str">
        <f>'01 Product Master'!J424</f>
        <v/>
      </c>
      <c r="D424" s="7" t="str">
        <f>'01 Product Master'!K424</f>
        <v/>
      </c>
      <c r="E424" s="7" t="str">
        <f>'01 Product Master'!L424</f>
        <v/>
      </c>
      <c r="F424" s="7" t="str">
        <f>'01 Product Master'!M424</f>
        <v/>
      </c>
      <c r="G424" s="7" t="str">
        <f>'01 Product Master'!N424</f>
        <v/>
      </c>
      <c r="H424" s="7">
        <f>'01 Product Master'!O424</f>
        <v>0</v>
      </c>
      <c r="I424" s="7" t="str">
        <f>'01 Product Master'!P424</f>
        <v/>
      </c>
      <c r="J424" s="2" t="str">
        <f>'01 Product Master'!Q424</f>
        <v/>
      </c>
      <c r="K424" s="1"/>
    </row>
    <row r="425" spans="1:11" ht="16" x14ac:dyDescent="0.2">
      <c r="A425" s="1" t="str">
        <f>'01 Product Master'!A425</f>
        <v>SN-0424</v>
      </c>
      <c r="B425" s="1">
        <f>'01 Product Master'!C425</f>
        <v>0</v>
      </c>
      <c r="C425" s="7" t="str">
        <f>'01 Product Master'!J425</f>
        <v/>
      </c>
      <c r="D425" s="7" t="str">
        <f>'01 Product Master'!K425</f>
        <v/>
      </c>
      <c r="E425" s="7" t="str">
        <f>'01 Product Master'!L425</f>
        <v/>
      </c>
      <c r="F425" s="7" t="str">
        <f>'01 Product Master'!M425</f>
        <v/>
      </c>
      <c r="G425" s="7" t="str">
        <f>'01 Product Master'!N425</f>
        <v/>
      </c>
      <c r="H425" s="7">
        <f>'01 Product Master'!O425</f>
        <v>0</v>
      </c>
      <c r="I425" s="7" t="str">
        <f>'01 Product Master'!P425</f>
        <v/>
      </c>
      <c r="J425" s="2" t="str">
        <f>'01 Product Master'!Q425</f>
        <v/>
      </c>
      <c r="K425" s="1"/>
    </row>
    <row r="426" spans="1:11" ht="16" x14ac:dyDescent="0.2">
      <c r="A426" s="1" t="str">
        <f>'01 Product Master'!A426</f>
        <v>SN-0425</v>
      </c>
      <c r="B426" s="1">
        <f>'01 Product Master'!C426</f>
        <v>0</v>
      </c>
      <c r="C426" s="7" t="str">
        <f>'01 Product Master'!J426</f>
        <v/>
      </c>
      <c r="D426" s="7" t="str">
        <f>'01 Product Master'!K426</f>
        <v/>
      </c>
      <c r="E426" s="7" t="str">
        <f>'01 Product Master'!L426</f>
        <v/>
      </c>
      <c r="F426" s="7" t="str">
        <f>'01 Product Master'!M426</f>
        <v/>
      </c>
      <c r="G426" s="7" t="str">
        <f>'01 Product Master'!N426</f>
        <v/>
      </c>
      <c r="H426" s="7">
        <f>'01 Product Master'!O426</f>
        <v>0</v>
      </c>
      <c r="I426" s="7" t="str">
        <f>'01 Product Master'!P426</f>
        <v/>
      </c>
      <c r="J426" s="2" t="str">
        <f>'01 Product Master'!Q426</f>
        <v/>
      </c>
      <c r="K426" s="1"/>
    </row>
    <row r="427" spans="1:11" ht="16" x14ac:dyDescent="0.2">
      <c r="A427" s="1" t="str">
        <f>'01 Product Master'!A427</f>
        <v>SN-0426</v>
      </c>
      <c r="B427" s="1">
        <f>'01 Product Master'!C427</f>
        <v>0</v>
      </c>
      <c r="C427" s="7" t="str">
        <f>'01 Product Master'!J427</f>
        <v/>
      </c>
      <c r="D427" s="7" t="str">
        <f>'01 Product Master'!K427</f>
        <v/>
      </c>
      <c r="E427" s="7" t="str">
        <f>'01 Product Master'!L427</f>
        <v/>
      </c>
      <c r="F427" s="7" t="str">
        <f>'01 Product Master'!M427</f>
        <v/>
      </c>
      <c r="G427" s="7" t="str">
        <f>'01 Product Master'!N427</f>
        <v/>
      </c>
      <c r="H427" s="7">
        <f>'01 Product Master'!O427</f>
        <v>0</v>
      </c>
      <c r="I427" s="7" t="str">
        <f>'01 Product Master'!P427</f>
        <v/>
      </c>
      <c r="J427" s="2" t="str">
        <f>'01 Product Master'!Q427</f>
        <v/>
      </c>
      <c r="K427" s="1"/>
    </row>
    <row r="428" spans="1:11" ht="16" x14ac:dyDescent="0.2">
      <c r="A428" s="1" t="str">
        <f>'01 Product Master'!A428</f>
        <v>SN-0427</v>
      </c>
      <c r="B428" s="1">
        <f>'01 Product Master'!C428</f>
        <v>0</v>
      </c>
      <c r="C428" s="7" t="str">
        <f>'01 Product Master'!J428</f>
        <v/>
      </c>
      <c r="D428" s="7" t="str">
        <f>'01 Product Master'!K428</f>
        <v/>
      </c>
      <c r="E428" s="7" t="str">
        <f>'01 Product Master'!L428</f>
        <v/>
      </c>
      <c r="F428" s="7" t="str">
        <f>'01 Product Master'!M428</f>
        <v/>
      </c>
      <c r="G428" s="7" t="str">
        <f>'01 Product Master'!N428</f>
        <v/>
      </c>
      <c r="H428" s="7">
        <f>'01 Product Master'!O428</f>
        <v>0</v>
      </c>
      <c r="I428" s="7" t="str">
        <f>'01 Product Master'!P428</f>
        <v/>
      </c>
      <c r="J428" s="2" t="str">
        <f>'01 Product Master'!Q428</f>
        <v/>
      </c>
      <c r="K428" s="1"/>
    </row>
    <row r="429" spans="1:11" ht="16" x14ac:dyDescent="0.2">
      <c r="A429" s="1" t="str">
        <f>'01 Product Master'!A429</f>
        <v>SN-0428</v>
      </c>
      <c r="B429" s="1">
        <f>'01 Product Master'!C429</f>
        <v>0</v>
      </c>
      <c r="C429" s="7" t="str">
        <f>'01 Product Master'!J429</f>
        <v/>
      </c>
      <c r="D429" s="7" t="str">
        <f>'01 Product Master'!K429</f>
        <v/>
      </c>
      <c r="E429" s="7" t="str">
        <f>'01 Product Master'!L429</f>
        <v/>
      </c>
      <c r="F429" s="7" t="str">
        <f>'01 Product Master'!M429</f>
        <v/>
      </c>
      <c r="G429" s="7" t="str">
        <f>'01 Product Master'!N429</f>
        <v/>
      </c>
      <c r="H429" s="7">
        <f>'01 Product Master'!O429</f>
        <v>0</v>
      </c>
      <c r="I429" s="7" t="str">
        <f>'01 Product Master'!P429</f>
        <v/>
      </c>
      <c r="J429" s="2" t="str">
        <f>'01 Product Master'!Q429</f>
        <v/>
      </c>
      <c r="K429" s="1"/>
    </row>
    <row r="430" spans="1:11" ht="16" x14ac:dyDescent="0.2">
      <c r="A430" s="1" t="str">
        <f>'01 Product Master'!A430</f>
        <v>SN-0429</v>
      </c>
      <c r="B430" s="1">
        <f>'01 Product Master'!C430</f>
        <v>0</v>
      </c>
      <c r="C430" s="7" t="str">
        <f>'01 Product Master'!J430</f>
        <v/>
      </c>
      <c r="D430" s="7" t="str">
        <f>'01 Product Master'!K430</f>
        <v/>
      </c>
      <c r="E430" s="7" t="str">
        <f>'01 Product Master'!L430</f>
        <v/>
      </c>
      <c r="F430" s="7" t="str">
        <f>'01 Product Master'!M430</f>
        <v/>
      </c>
      <c r="G430" s="7" t="str">
        <f>'01 Product Master'!N430</f>
        <v/>
      </c>
      <c r="H430" s="7">
        <f>'01 Product Master'!O430</f>
        <v>0</v>
      </c>
      <c r="I430" s="7" t="str">
        <f>'01 Product Master'!P430</f>
        <v/>
      </c>
      <c r="J430" s="2" t="str">
        <f>'01 Product Master'!Q430</f>
        <v/>
      </c>
      <c r="K430" s="1"/>
    </row>
    <row r="431" spans="1:11" ht="16" x14ac:dyDescent="0.2">
      <c r="A431" s="1" t="str">
        <f>'01 Product Master'!A431</f>
        <v>SN-0430</v>
      </c>
      <c r="B431" s="1">
        <f>'01 Product Master'!C431</f>
        <v>0</v>
      </c>
      <c r="C431" s="7" t="str">
        <f>'01 Product Master'!J431</f>
        <v/>
      </c>
      <c r="D431" s="7" t="str">
        <f>'01 Product Master'!K431</f>
        <v/>
      </c>
      <c r="E431" s="7" t="str">
        <f>'01 Product Master'!L431</f>
        <v/>
      </c>
      <c r="F431" s="7" t="str">
        <f>'01 Product Master'!M431</f>
        <v/>
      </c>
      <c r="G431" s="7" t="str">
        <f>'01 Product Master'!N431</f>
        <v/>
      </c>
      <c r="H431" s="7">
        <f>'01 Product Master'!O431</f>
        <v>0</v>
      </c>
      <c r="I431" s="7" t="str">
        <f>'01 Product Master'!P431</f>
        <v/>
      </c>
      <c r="J431" s="2" t="str">
        <f>'01 Product Master'!Q431</f>
        <v/>
      </c>
      <c r="K431" s="1"/>
    </row>
    <row r="432" spans="1:11" ht="16" x14ac:dyDescent="0.2">
      <c r="A432" s="1" t="str">
        <f>'01 Product Master'!A432</f>
        <v>SN-0431</v>
      </c>
      <c r="B432" s="1">
        <f>'01 Product Master'!C432</f>
        <v>0</v>
      </c>
      <c r="C432" s="7" t="str">
        <f>'01 Product Master'!J432</f>
        <v/>
      </c>
      <c r="D432" s="7" t="str">
        <f>'01 Product Master'!K432</f>
        <v/>
      </c>
      <c r="E432" s="7" t="str">
        <f>'01 Product Master'!L432</f>
        <v/>
      </c>
      <c r="F432" s="7" t="str">
        <f>'01 Product Master'!M432</f>
        <v/>
      </c>
      <c r="G432" s="7" t="str">
        <f>'01 Product Master'!N432</f>
        <v/>
      </c>
      <c r="H432" s="7">
        <f>'01 Product Master'!O432</f>
        <v>0</v>
      </c>
      <c r="I432" s="7" t="str">
        <f>'01 Product Master'!P432</f>
        <v/>
      </c>
      <c r="J432" s="2" t="str">
        <f>'01 Product Master'!Q432</f>
        <v/>
      </c>
      <c r="K432" s="1"/>
    </row>
    <row r="433" spans="1:11" ht="16" x14ac:dyDescent="0.2">
      <c r="A433" s="1" t="str">
        <f>'01 Product Master'!A433</f>
        <v>SN-0432</v>
      </c>
      <c r="B433" s="1">
        <f>'01 Product Master'!C433</f>
        <v>0</v>
      </c>
      <c r="C433" s="7" t="str">
        <f>'01 Product Master'!J433</f>
        <v/>
      </c>
      <c r="D433" s="7" t="str">
        <f>'01 Product Master'!K433</f>
        <v/>
      </c>
      <c r="E433" s="7" t="str">
        <f>'01 Product Master'!L433</f>
        <v/>
      </c>
      <c r="F433" s="7" t="str">
        <f>'01 Product Master'!M433</f>
        <v/>
      </c>
      <c r="G433" s="7" t="str">
        <f>'01 Product Master'!N433</f>
        <v/>
      </c>
      <c r="H433" s="7">
        <f>'01 Product Master'!O433</f>
        <v>0</v>
      </c>
      <c r="I433" s="7" t="str">
        <f>'01 Product Master'!P433</f>
        <v/>
      </c>
      <c r="J433" s="2" t="str">
        <f>'01 Product Master'!Q433</f>
        <v/>
      </c>
      <c r="K433" s="1"/>
    </row>
    <row r="434" spans="1:11" ht="16" x14ac:dyDescent="0.2">
      <c r="A434" s="1" t="str">
        <f>'01 Product Master'!A434</f>
        <v>SN-0433</v>
      </c>
      <c r="B434" s="1">
        <f>'01 Product Master'!C434</f>
        <v>0</v>
      </c>
      <c r="C434" s="7" t="str">
        <f>'01 Product Master'!J434</f>
        <v/>
      </c>
      <c r="D434" s="7" t="str">
        <f>'01 Product Master'!K434</f>
        <v/>
      </c>
      <c r="E434" s="7" t="str">
        <f>'01 Product Master'!L434</f>
        <v/>
      </c>
      <c r="F434" s="7" t="str">
        <f>'01 Product Master'!M434</f>
        <v/>
      </c>
      <c r="G434" s="7" t="str">
        <f>'01 Product Master'!N434</f>
        <v/>
      </c>
      <c r="H434" s="7">
        <f>'01 Product Master'!O434</f>
        <v>0</v>
      </c>
      <c r="I434" s="7" t="str">
        <f>'01 Product Master'!P434</f>
        <v/>
      </c>
      <c r="J434" s="2" t="str">
        <f>'01 Product Master'!Q434</f>
        <v/>
      </c>
      <c r="K434" s="1"/>
    </row>
    <row r="435" spans="1:11" ht="16" x14ac:dyDescent="0.2">
      <c r="A435" s="1" t="str">
        <f>'01 Product Master'!A435</f>
        <v>SN-0434</v>
      </c>
      <c r="B435" s="1">
        <f>'01 Product Master'!C435</f>
        <v>0</v>
      </c>
      <c r="C435" s="7" t="str">
        <f>'01 Product Master'!J435</f>
        <v/>
      </c>
      <c r="D435" s="7" t="str">
        <f>'01 Product Master'!K435</f>
        <v/>
      </c>
      <c r="E435" s="7" t="str">
        <f>'01 Product Master'!L435</f>
        <v/>
      </c>
      <c r="F435" s="7" t="str">
        <f>'01 Product Master'!M435</f>
        <v/>
      </c>
      <c r="G435" s="7" t="str">
        <f>'01 Product Master'!N435</f>
        <v/>
      </c>
      <c r="H435" s="7">
        <f>'01 Product Master'!O435</f>
        <v>0</v>
      </c>
      <c r="I435" s="7" t="str">
        <f>'01 Product Master'!P435</f>
        <v/>
      </c>
      <c r="J435" s="2" t="str">
        <f>'01 Product Master'!Q435</f>
        <v/>
      </c>
      <c r="K435" s="1"/>
    </row>
    <row r="436" spans="1:11" ht="16" x14ac:dyDescent="0.2">
      <c r="A436" s="1" t="str">
        <f>'01 Product Master'!A436</f>
        <v>SN-0435</v>
      </c>
      <c r="B436" s="1">
        <f>'01 Product Master'!C436</f>
        <v>0</v>
      </c>
      <c r="C436" s="7" t="str">
        <f>'01 Product Master'!J436</f>
        <v/>
      </c>
      <c r="D436" s="7" t="str">
        <f>'01 Product Master'!K436</f>
        <v/>
      </c>
      <c r="E436" s="7" t="str">
        <f>'01 Product Master'!L436</f>
        <v/>
      </c>
      <c r="F436" s="7" t="str">
        <f>'01 Product Master'!M436</f>
        <v/>
      </c>
      <c r="G436" s="7" t="str">
        <f>'01 Product Master'!N436</f>
        <v/>
      </c>
      <c r="H436" s="7">
        <f>'01 Product Master'!O436</f>
        <v>0</v>
      </c>
      <c r="I436" s="7" t="str">
        <f>'01 Product Master'!P436</f>
        <v/>
      </c>
      <c r="J436" s="2" t="str">
        <f>'01 Product Master'!Q436</f>
        <v/>
      </c>
      <c r="K436" s="1"/>
    </row>
    <row r="437" spans="1:11" ht="16" x14ac:dyDescent="0.2">
      <c r="A437" s="1" t="str">
        <f>'01 Product Master'!A437</f>
        <v>SN-0436</v>
      </c>
      <c r="B437" s="1">
        <f>'01 Product Master'!C437</f>
        <v>0</v>
      </c>
      <c r="C437" s="7" t="str">
        <f>'01 Product Master'!J437</f>
        <v/>
      </c>
      <c r="D437" s="7" t="str">
        <f>'01 Product Master'!K437</f>
        <v/>
      </c>
      <c r="E437" s="7" t="str">
        <f>'01 Product Master'!L437</f>
        <v/>
      </c>
      <c r="F437" s="7" t="str">
        <f>'01 Product Master'!M437</f>
        <v/>
      </c>
      <c r="G437" s="7" t="str">
        <f>'01 Product Master'!N437</f>
        <v/>
      </c>
      <c r="H437" s="7">
        <f>'01 Product Master'!O437</f>
        <v>0</v>
      </c>
      <c r="I437" s="7" t="str">
        <f>'01 Product Master'!P437</f>
        <v/>
      </c>
      <c r="J437" s="2" t="str">
        <f>'01 Product Master'!Q437</f>
        <v/>
      </c>
      <c r="K437" s="1"/>
    </row>
    <row r="438" spans="1:11" ht="16" x14ac:dyDescent="0.2">
      <c r="A438" s="1" t="str">
        <f>'01 Product Master'!A438</f>
        <v>SN-0437</v>
      </c>
      <c r="B438" s="1">
        <f>'01 Product Master'!C438</f>
        <v>0</v>
      </c>
      <c r="C438" s="7" t="str">
        <f>'01 Product Master'!J438</f>
        <v/>
      </c>
      <c r="D438" s="7" t="str">
        <f>'01 Product Master'!K438</f>
        <v/>
      </c>
      <c r="E438" s="7" t="str">
        <f>'01 Product Master'!L438</f>
        <v/>
      </c>
      <c r="F438" s="7" t="str">
        <f>'01 Product Master'!M438</f>
        <v/>
      </c>
      <c r="G438" s="7" t="str">
        <f>'01 Product Master'!N438</f>
        <v/>
      </c>
      <c r="H438" s="7">
        <f>'01 Product Master'!O438</f>
        <v>0</v>
      </c>
      <c r="I438" s="7" t="str">
        <f>'01 Product Master'!P438</f>
        <v/>
      </c>
      <c r="J438" s="2" t="str">
        <f>'01 Product Master'!Q438</f>
        <v/>
      </c>
      <c r="K438" s="1"/>
    </row>
    <row r="439" spans="1:11" ht="16" x14ac:dyDescent="0.2">
      <c r="A439" s="1" t="str">
        <f>'01 Product Master'!A439</f>
        <v>SN-0438</v>
      </c>
      <c r="B439" s="1">
        <f>'01 Product Master'!C439</f>
        <v>0</v>
      </c>
      <c r="C439" s="7" t="str">
        <f>'01 Product Master'!J439</f>
        <v/>
      </c>
      <c r="D439" s="7" t="str">
        <f>'01 Product Master'!K439</f>
        <v/>
      </c>
      <c r="E439" s="7" t="str">
        <f>'01 Product Master'!L439</f>
        <v/>
      </c>
      <c r="F439" s="7" t="str">
        <f>'01 Product Master'!M439</f>
        <v/>
      </c>
      <c r="G439" s="7" t="str">
        <f>'01 Product Master'!N439</f>
        <v/>
      </c>
      <c r="H439" s="7">
        <f>'01 Product Master'!O439</f>
        <v>0</v>
      </c>
      <c r="I439" s="7" t="str">
        <f>'01 Product Master'!P439</f>
        <v/>
      </c>
      <c r="J439" s="2" t="str">
        <f>'01 Product Master'!Q439</f>
        <v/>
      </c>
      <c r="K439" s="1"/>
    </row>
    <row r="440" spans="1:11" ht="16" x14ac:dyDescent="0.2">
      <c r="A440" s="1" t="str">
        <f>'01 Product Master'!A440</f>
        <v>SN-0439</v>
      </c>
      <c r="B440" s="1">
        <f>'01 Product Master'!C440</f>
        <v>0</v>
      </c>
      <c r="C440" s="7" t="str">
        <f>'01 Product Master'!J440</f>
        <v/>
      </c>
      <c r="D440" s="7" t="str">
        <f>'01 Product Master'!K440</f>
        <v/>
      </c>
      <c r="E440" s="7" t="str">
        <f>'01 Product Master'!L440</f>
        <v/>
      </c>
      <c r="F440" s="7" t="str">
        <f>'01 Product Master'!M440</f>
        <v/>
      </c>
      <c r="G440" s="7" t="str">
        <f>'01 Product Master'!N440</f>
        <v/>
      </c>
      <c r="H440" s="7">
        <f>'01 Product Master'!O440</f>
        <v>0</v>
      </c>
      <c r="I440" s="7" t="str">
        <f>'01 Product Master'!P440</f>
        <v/>
      </c>
      <c r="J440" s="2" t="str">
        <f>'01 Product Master'!Q440</f>
        <v/>
      </c>
      <c r="K440" s="1"/>
    </row>
    <row r="441" spans="1:11" ht="16" x14ac:dyDescent="0.2">
      <c r="A441" s="1" t="str">
        <f>'01 Product Master'!A441</f>
        <v>SN-0440</v>
      </c>
      <c r="B441" s="1">
        <f>'01 Product Master'!C441</f>
        <v>0</v>
      </c>
      <c r="C441" s="7" t="str">
        <f>'01 Product Master'!J441</f>
        <v/>
      </c>
      <c r="D441" s="7" t="str">
        <f>'01 Product Master'!K441</f>
        <v/>
      </c>
      <c r="E441" s="7" t="str">
        <f>'01 Product Master'!L441</f>
        <v/>
      </c>
      <c r="F441" s="7" t="str">
        <f>'01 Product Master'!M441</f>
        <v/>
      </c>
      <c r="G441" s="7" t="str">
        <f>'01 Product Master'!N441</f>
        <v/>
      </c>
      <c r="H441" s="7">
        <f>'01 Product Master'!O441</f>
        <v>0</v>
      </c>
      <c r="I441" s="7" t="str">
        <f>'01 Product Master'!P441</f>
        <v/>
      </c>
      <c r="J441" s="2" t="str">
        <f>'01 Product Master'!Q441</f>
        <v/>
      </c>
      <c r="K441" s="1"/>
    </row>
    <row r="442" spans="1:11" ht="16" x14ac:dyDescent="0.2">
      <c r="A442" s="1" t="str">
        <f>'01 Product Master'!A442</f>
        <v>SN-0441</v>
      </c>
      <c r="B442" s="1">
        <f>'01 Product Master'!C442</f>
        <v>0</v>
      </c>
      <c r="C442" s="7" t="str">
        <f>'01 Product Master'!J442</f>
        <v/>
      </c>
      <c r="D442" s="7" t="str">
        <f>'01 Product Master'!K442</f>
        <v/>
      </c>
      <c r="E442" s="7" t="str">
        <f>'01 Product Master'!L442</f>
        <v/>
      </c>
      <c r="F442" s="7" t="str">
        <f>'01 Product Master'!M442</f>
        <v/>
      </c>
      <c r="G442" s="7" t="str">
        <f>'01 Product Master'!N442</f>
        <v/>
      </c>
      <c r="H442" s="7">
        <f>'01 Product Master'!O442</f>
        <v>0</v>
      </c>
      <c r="I442" s="7" t="str">
        <f>'01 Product Master'!P442</f>
        <v/>
      </c>
      <c r="J442" s="2" t="str">
        <f>'01 Product Master'!Q442</f>
        <v/>
      </c>
      <c r="K442" s="1"/>
    </row>
    <row r="443" spans="1:11" ht="16" x14ac:dyDescent="0.2">
      <c r="A443" s="1" t="str">
        <f>'01 Product Master'!A443</f>
        <v>SN-0442</v>
      </c>
      <c r="B443" s="1">
        <f>'01 Product Master'!C443</f>
        <v>0</v>
      </c>
      <c r="C443" s="7" t="str">
        <f>'01 Product Master'!J443</f>
        <v/>
      </c>
      <c r="D443" s="7" t="str">
        <f>'01 Product Master'!K443</f>
        <v/>
      </c>
      <c r="E443" s="7" t="str">
        <f>'01 Product Master'!L443</f>
        <v/>
      </c>
      <c r="F443" s="7" t="str">
        <f>'01 Product Master'!M443</f>
        <v/>
      </c>
      <c r="G443" s="7" t="str">
        <f>'01 Product Master'!N443</f>
        <v/>
      </c>
      <c r="H443" s="7">
        <f>'01 Product Master'!O443</f>
        <v>0</v>
      </c>
      <c r="I443" s="7" t="str">
        <f>'01 Product Master'!P443</f>
        <v/>
      </c>
      <c r="J443" s="2" t="str">
        <f>'01 Product Master'!Q443</f>
        <v/>
      </c>
      <c r="K443" s="1"/>
    </row>
    <row r="444" spans="1:11" ht="16" x14ac:dyDescent="0.2">
      <c r="A444" s="1" t="str">
        <f>'01 Product Master'!A444</f>
        <v>SN-0443</v>
      </c>
      <c r="B444" s="1">
        <f>'01 Product Master'!C444</f>
        <v>0</v>
      </c>
      <c r="C444" s="7" t="str">
        <f>'01 Product Master'!J444</f>
        <v/>
      </c>
      <c r="D444" s="7" t="str">
        <f>'01 Product Master'!K444</f>
        <v/>
      </c>
      <c r="E444" s="7" t="str">
        <f>'01 Product Master'!L444</f>
        <v/>
      </c>
      <c r="F444" s="7" t="str">
        <f>'01 Product Master'!M444</f>
        <v/>
      </c>
      <c r="G444" s="7" t="str">
        <f>'01 Product Master'!N444</f>
        <v/>
      </c>
      <c r="H444" s="7">
        <f>'01 Product Master'!O444</f>
        <v>0</v>
      </c>
      <c r="I444" s="7" t="str">
        <f>'01 Product Master'!P444</f>
        <v/>
      </c>
      <c r="J444" s="2" t="str">
        <f>'01 Product Master'!Q444</f>
        <v/>
      </c>
      <c r="K444" s="1"/>
    </row>
    <row r="445" spans="1:11" ht="16" x14ac:dyDescent="0.2">
      <c r="A445" s="1" t="str">
        <f>'01 Product Master'!A445</f>
        <v>SN-0444</v>
      </c>
      <c r="B445" s="1">
        <f>'01 Product Master'!C445</f>
        <v>0</v>
      </c>
      <c r="C445" s="7" t="str">
        <f>'01 Product Master'!J445</f>
        <v/>
      </c>
      <c r="D445" s="7" t="str">
        <f>'01 Product Master'!K445</f>
        <v/>
      </c>
      <c r="E445" s="7" t="str">
        <f>'01 Product Master'!L445</f>
        <v/>
      </c>
      <c r="F445" s="7" t="str">
        <f>'01 Product Master'!M445</f>
        <v/>
      </c>
      <c r="G445" s="7" t="str">
        <f>'01 Product Master'!N445</f>
        <v/>
      </c>
      <c r="H445" s="7">
        <f>'01 Product Master'!O445</f>
        <v>0</v>
      </c>
      <c r="I445" s="7" t="str">
        <f>'01 Product Master'!P445</f>
        <v/>
      </c>
      <c r="J445" s="2" t="str">
        <f>'01 Product Master'!Q445</f>
        <v/>
      </c>
      <c r="K445" s="1"/>
    </row>
    <row r="446" spans="1:11" ht="16" x14ac:dyDescent="0.2">
      <c r="A446" s="1" t="str">
        <f>'01 Product Master'!A446</f>
        <v>SN-0445</v>
      </c>
      <c r="B446" s="1">
        <f>'01 Product Master'!C446</f>
        <v>0</v>
      </c>
      <c r="C446" s="7" t="str">
        <f>'01 Product Master'!J446</f>
        <v/>
      </c>
      <c r="D446" s="7" t="str">
        <f>'01 Product Master'!K446</f>
        <v/>
      </c>
      <c r="E446" s="7" t="str">
        <f>'01 Product Master'!L446</f>
        <v/>
      </c>
      <c r="F446" s="7" t="str">
        <f>'01 Product Master'!M446</f>
        <v/>
      </c>
      <c r="G446" s="7" t="str">
        <f>'01 Product Master'!N446</f>
        <v/>
      </c>
      <c r="H446" s="7">
        <f>'01 Product Master'!O446</f>
        <v>0</v>
      </c>
      <c r="I446" s="7" t="str">
        <f>'01 Product Master'!P446</f>
        <v/>
      </c>
      <c r="J446" s="2" t="str">
        <f>'01 Product Master'!Q446</f>
        <v/>
      </c>
      <c r="K446" s="1"/>
    </row>
    <row r="447" spans="1:11" ht="16" x14ac:dyDescent="0.2">
      <c r="A447" s="1" t="str">
        <f>'01 Product Master'!A447</f>
        <v>SN-0446</v>
      </c>
      <c r="B447" s="1">
        <f>'01 Product Master'!C447</f>
        <v>0</v>
      </c>
      <c r="C447" s="7" t="str">
        <f>'01 Product Master'!J447</f>
        <v/>
      </c>
      <c r="D447" s="7" t="str">
        <f>'01 Product Master'!K447</f>
        <v/>
      </c>
      <c r="E447" s="7" t="str">
        <f>'01 Product Master'!L447</f>
        <v/>
      </c>
      <c r="F447" s="7" t="str">
        <f>'01 Product Master'!M447</f>
        <v/>
      </c>
      <c r="G447" s="7" t="str">
        <f>'01 Product Master'!N447</f>
        <v/>
      </c>
      <c r="H447" s="7">
        <f>'01 Product Master'!O447</f>
        <v>0</v>
      </c>
      <c r="I447" s="7" t="str">
        <f>'01 Product Master'!P447</f>
        <v/>
      </c>
      <c r="J447" s="2" t="str">
        <f>'01 Product Master'!Q447</f>
        <v/>
      </c>
      <c r="K447" s="1"/>
    </row>
    <row r="448" spans="1:11" ht="16" x14ac:dyDescent="0.2">
      <c r="A448" s="1" t="str">
        <f>'01 Product Master'!A448</f>
        <v>SN-0447</v>
      </c>
      <c r="B448" s="1">
        <f>'01 Product Master'!C448</f>
        <v>0</v>
      </c>
      <c r="C448" s="7" t="str">
        <f>'01 Product Master'!J448</f>
        <v/>
      </c>
      <c r="D448" s="7" t="str">
        <f>'01 Product Master'!K448</f>
        <v/>
      </c>
      <c r="E448" s="7" t="str">
        <f>'01 Product Master'!L448</f>
        <v/>
      </c>
      <c r="F448" s="7" t="str">
        <f>'01 Product Master'!M448</f>
        <v/>
      </c>
      <c r="G448" s="7" t="str">
        <f>'01 Product Master'!N448</f>
        <v/>
      </c>
      <c r="H448" s="7">
        <f>'01 Product Master'!O448</f>
        <v>0</v>
      </c>
      <c r="I448" s="7" t="str">
        <f>'01 Product Master'!P448</f>
        <v/>
      </c>
      <c r="J448" s="2" t="str">
        <f>'01 Product Master'!Q448</f>
        <v/>
      </c>
      <c r="K448" s="1"/>
    </row>
    <row r="449" spans="1:11" ht="16" x14ac:dyDescent="0.2">
      <c r="A449" s="1" t="str">
        <f>'01 Product Master'!A449</f>
        <v>SN-0448</v>
      </c>
      <c r="B449" s="1">
        <f>'01 Product Master'!C449</f>
        <v>0</v>
      </c>
      <c r="C449" s="7" t="str">
        <f>'01 Product Master'!J449</f>
        <v/>
      </c>
      <c r="D449" s="7" t="str">
        <f>'01 Product Master'!K449</f>
        <v/>
      </c>
      <c r="E449" s="7" t="str">
        <f>'01 Product Master'!L449</f>
        <v/>
      </c>
      <c r="F449" s="7" t="str">
        <f>'01 Product Master'!M449</f>
        <v/>
      </c>
      <c r="G449" s="7" t="str">
        <f>'01 Product Master'!N449</f>
        <v/>
      </c>
      <c r="H449" s="7">
        <f>'01 Product Master'!O449</f>
        <v>0</v>
      </c>
      <c r="I449" s="7" t="str">
        <f>'01 Product Master'!P449</f>
        <v/>
      </c>
      <c r="J449" s="2" t="str">
        <f>'01 Product Master'!Q449</f>
        <v/>
      </c>
      <c r="K449" s="1"/>
    </row>
    <row r="450" spans="1:11" ht="16" x14ac:dyDescent="0.2">
      <c r="A450" s="1" t="str">
        <f>'01 Product Master'!A450</f>
        <v>SN-0449</v>
      </c>
      <c r="B450" s="1">
        <f>'01 Product Master'!C450</f>
        <v>0</v>
      </c>
      <c r="C450" s="7" t="str">
        <f>'01 Product Master'!J450</f>
        <v/>
      </c>
      <c r="D450" s="7" t="str">
        <f>'01 Product Master'!K450</f>
        <v/>
      </c>
      <c r="E450" s="7" t="str">
        <f>'01 Product Master'!L450</f>
        <v/>
      </c>
      <c r="F450" s="7" t="str">
        <f>'01 Product Master'!M450</f>
        <v/>
      </c>
      <c r="G450" s="7" t="str">
        <f>'01 Product Master'!N450</f>
        <v/>
      </c>
      <c r="H450" s="7">
        <f>'01 Product Master'!O450</f>
        <v>0</v>
      </c>
      <c r="I450" s="7" t="str">
        <f>'01 Product Master'!P450</f>
        <v/>
      </c>
      <c r="J450" s="2" t="str">
        <f>'01 Product Master'!Q450</f>
        <v/>
      </c>
      <c r="K450" s="1"/>
    </row>
    <row r="451" spans="1:11" ht="16" x14ac:dyDescent="0.2">
      <c r="A451" s="1" t="str">
        <f>'01 Product Master'!A451</f>
        <v>SN-0450</v>
      </c>
      <c r="B451" s="1">
        <f>'01 Product Master'!C451</f>
        <v>0</v>
      </c>
      <c r="C451" s="7" t="str">
        <f>'01 Product Master'!J451</f>
        <v/>
      </c>
      <c r="D451" s="7" t="str">
        <f>'01 Product Master'!K451</f>
        <v/>
      </c>
      <c r="E451" s="7" t="str">
        <f>'01 Product Master'!L451</f>
        <v/>
      </c>
      <c r="F451" s="7" t="str">
        <f>'01 Product Master'!M451</f>
        <v/>
      </c>
      <c r="G451" s="7" t="str">
        <f>'01 Product Master'!N451</f>
        <v/>
      </c>
      <c r="H451" s="7">
        <f>'01 Product Master'!O451</f>
        <v>0</v>
      </c>
      <c r="I451" s="7" t="str">
        <f>'01 Product Master'!P451</f>
        <v/>
      </c>
      <c r="J451" s="2" t="str">
        <f>'01 Product Master'!Q451</f>
        <v/>
      </c>
      <c r="K451" s="1"/>
    </row>
    <row r="452" spans="1:11" ht="16" x14ac:dyDescent="0.2">
      <c r="A452" s="1" t="str">
        <f>'01 Product Master'!A452</f>
        <v>SN-0451</v>
      </c>
      <c r="B452" s="1">
        <f>'01 Product Master'!C452</f>
        <v>0</v>
      </c>
      <c r="C452" s="7" t="str">
        <f>'01 Product Master'!J452</f>
        <v/>
      </c>
      <c r="D452" s="7" t="str">
        <f>'01 Product Master'!K452</f>
        <v/>
      </c>
      <c r="E452" s="7" t="str">
        <f>'01 Product Master'!L452</f>
        <v/>
      </c>
      <c r="F452" s="7" t="str">
        <f>'01 Product Master'!M452</f>
        <v/>
      </c>
      <c r="G452" s="7" t="str">
        <f>'01 Product Master'!N452</f>
        <v/>
      </c>
      <c r="H452" s="7">
        <f>'01 Product Master'!O452</f>
        <v>0</v>
      </c>
      <c r="I452" s="7" t="str">
        <f>'01 Product Master'!P452</f>
        <v/>
      </c>
      <c r="J452" s="2" t="str">
        <f>'01 Product Master'!Q452</f>
        <v/>
      </c>
      <c r="K452" s="1"/>
    </row>
    <row r="453" spans="1:11" ht="16" x14ac:dyDescent="0.2">
      <c r="A453" s="1" t="str">
        <f>'01 Product Master'!A453</f>
        <v>SN-0452</v>
      </c>
      <c r="B453" s="1">
        <f>'01 Product Master'!C453</f>
        <v>0</v>
      </c>
      <c r="C453" s="7" t="str">
        <f>'01 Product Master'!J453</f>
        <v/>
      </c>
      <c r="D453" s="7" t="str">
        <f>'01 Product Master'!K453</f>
        <v/>
      </c>
      <c r="E453" s="7" t="str">
        <f>'01 Product Master'!L453</f>
        <v/>
      </c>
      <c r="F453" s="7" t="str">
        <f>'01 Product Master'!M453</f>
        <v/>
      </c>
      <c r="G453" s="7" t="str">
        <f>'01 Product Master'!N453</f>
        <v/>
      </c>
      <c r="H453" s="7">
        <f>'01 Product Master'!O453</f>
        <v>0</v>
      </c>
      <c r="I453" s="7" t="str">
        <f>'01 Product Master'!P453</f>
        <v/>
      </c>
      <c r="J453" s="2" t="str">
        <f>'01 Product Master'!Q453</f>
        <v/>
      </c>
      <c r="K453" s="1"/>
    </row>
    <row r="454" spans="1:11" ht="16" x14ac:dyDescent="0.2">
      <c r="A454" s="1" t="str">
        <f>'01 Product Master'!A454</f>
        <v>SN-0453</v>
      </c>
      <c r="B454" s="1">
        <f>'01 Product Master'!C454</f>
        <v>0</v>
      </c>
      <c r="C454" s="7" t="str">
        <f>'01 Product Master'!J454</f>
        <v/>
      </c>
      <c r="D454" s="7" t="str">
        <f>'01 Product Master'!K454</f>
        <v/>
      </c>
      <c r="E454" s="7" t="str">
        <f>'01 Product Master'!L454</f>
        <v/>
      </c>
      <c r="F454" s="7" t="str">
        <f>'01 Product Master'!M454</f>
        <v/>
      </c>
      <c r="G454" s="7" t="str">
        <f>'01 Product Master'!N454</f>
        <v/>
      </c>
      <c r="H454" s="7">
        <f>'01 Product Master'!O454</f>
        <v>0</v>
      </c>
      <c r="I454" s="7" t="str">
        <f>'01 Product Master'!P454</f>
        <v/>
      </c>
      <c r="J454" s="2" t="str">
        <f>'01 Product Master'!Q454</f>
        <v/>
      </c>
      <c r="K454" s="1"/>
    </row>
    <row r="455" spans="1:11" ht="16" x14ac:dyDescent="0.2">
      <c r="A455" s="1" t="str">
        <f>'01 Product Master'!A455</f>
        <v>SN-0454</v>
      </c>
      <c r="B455" s="1">
        <f>'01 Product Master'!C455</f>
        <v>0</v>
      </c>
      <c r="C455" s="7" t="str">
        <f>'01 Product Master'!J455</f>
        <v/>
      </c>
      <c r="D455" s="7" t="str">
        <f>'01 Product Master'!K455</f>
        <v/>
      </c>
      <c r="E455" s="7" t="str">
        <f>'01 Product Master'!L455</f>
        <v/>
      </c>
      <c r="F455" s="7" t="str">
        <f>'01 Product Master'!M455</f>
        <v/>
      </c>
      <c r="G455" s="7" t="str">
        <f>'01 Product Master'!N455</f>
        <v/>
      </c>
      <c r="H455" s="7">
        <f>'01 Product Master'!O455</f>
        <v>0</v>
      </c>
      <c r="I455" s="7" t="str">
        <f>'01 Product Master'!P455</f>
        <v/>
      </c>
      <c r="J455" s="2" t="str">
        <f>'01 Product Master'!Q455</f>
        <v/>
      </c>
      <c r="K455" s="1"/>
    </row>
    <row r="456" spans="1:11" ht="16" x14ac:dyDescent="0.2">
      <c r="A456" s="1" t="str">
        <f>'01 Product Master'!A456</f>
        <v>SN-0455</v>
      </c>
      <c r="B456" s="1">
        <f>'01 Product Master'!C456</f>
        <v>0</v>
      </c>
      <c r="C456" s="7" t="str">
        <f>'01 Product Master'!J456</f>
        <v/>
      </c>
      <c r="D456" s="7" t="str">
        <f>'01 Product Master'!K456</f>
        <v/>
      </c>
      <c r="E456" s="7" t="str">
        <f>'01 Product Master'!L456</f>
        <v/>
      </c>
      <c r="F456" s="7" t="str">
        <f>'01 Product Master'!M456</f>
        <v/>
      </c>
      <c r="G456" s="7" t="str">
        <f>'01 Product Master'!N456</f>
        <v/>
      </c>
      <c r="H456" s="7">
        <f>'01 Product Master'!O456</f>
        <v>0</v>
      </c>
      <c r="I456" s="7" t="str">
        <f>'01 Product Master'!P456</f>
        <v/>
      </c>
      <c r="J456" s="2" t="str">
        <f>'01 Product Master'!Q456</f>
        <v/>
      </c>
      <c r="K456" s="1"/>
    </row>
    <row r="457" spans="1:11" ht="16" x14ac:dyDescent="0.2">
      <c r="A457" s="1" t="str">
        <f>'01 Product Master'!A457</f>
        <v>SN-0456</v>
      </c>
      <c r="B457" s="1">
        <f>'01 Product Master'!C457</f>
        <v>0</v>
      </c>
      <c r="C457" s="7" t="str">
        <f>'01 Product Master'!J457</f>
        <v/>
      </c>
      <c r="D457" s="7" t="str">
        <f>'01 Product Master'!K457</f>
        <v/>
      </c>
      <c r="E457" s="7" t="str">
        <f>'01 Product Master'!L457</f>
        <v/>
      </c>
      <c r="F457" s="7" t="str">
        <f>'01 Product Master'!M457</f>
        <v/>
      </c>
      <c r="G457" s="7" t="str">
        <f>'01 Product Master'!N457</f>
        <v/>
      </c>
      <c r="H457" s="7">
        <f>'01 Product Master'!O457</f>
        <v>0</v>
      </c>
      <c r="I457" s="7" t="str">
        <f>'01 Product Master'!P457</f>
        <v/>
      </c>
      <c r="J457" s="2" t="str">
        <f>'01 Product Master'!Q457</f>
        <v/>
      </c>
      <c r="K457" s="1"/>
    </row>
    <row r="458" spans="1:11" ht="16" x14ac:dyDescent="0.2">
      <c r="A458" s="1" t="str">
        <f>'01 Product Master'!A458</f>
        <v>SN-0457</v>
      </c>
      <c r="B458" s="1">
        <f>'01 Product Master'!C458</f>
        <v>0</v>
      </c>
      <c r="C458" s="7" t="str">
        <f>'01 Product Master'!J458</f>
        <v/>
      </c>
      <c r="D458" s="7" t="str">
        <f>'01 Product Master'!K458</f>
        <v/>
      </c>
      <c r="E458" s="7" t="str">
        <f>'01 Product Master'!L458</f>
        <v/>
      </c>
      <c r="F458" s="7" t="str">
        <f>'01 Product Master'!M458</f>
        <v/>
      </c>
      <c r="G458" s="7" t="str">
        <f>'01 Product Master'!N458</f>
        <v/>
      </c>
      <c r="H458" s="7">
        <f>'01 Product Master'!O458</f>
        <v>0</v>
      </c>
      <c r="I458" s="7" t="str">
        <f>'01 Product Master'!P458</f>
        <v/>
      </c>
      <c r="J458" s="2" t="str">
        <f>'01 Product Master'!Q458</f>
        <v/>
      </c>
      <c r="K458" s="1"/>
    </row>
    <row r="459" spans="1:11" ht="16" x14ac:dyDescent="0.2">
      <c r="A459" s="1" t="str">
        <f>'01 Product Master'!A459</f>
        <v>SN-0458</v>
      </c>
      <c r="B459" s="1">
        <f>'01 Product Master'!C459</f>
        <v>0</v>
      </c>
      <c r="C459" s="7" t="str">
        <f>'01 Product Master'!J459</f>
        <v/>
      </c>
      <c r="D459" s="7" t="str">
        <f>'01 Product Master'!K459</f>
        <v/>
      </c>
      <c r="E459" s="7" t="str">
        <f>'01 Product Master'!L459</f>
        <v/>
      </c>
      <c r="F459" s="7" t="str">
        <f>'01 Product Master'!M459</f>
        <v/>
      </c>
      <c r="G459" s="7" t="str">
        <f>'01 Product Master'!N459</f>
        <v/>
      </c>
      <c r="H459" s="7">
        <f>'01 Product Master'!O459</f>
        <v>0</v>
      </c>
      <c r="I459" s="7" t="str">
        <f>'01 Product Master'!P459</f>
        <v/>
      </c>
      <c r="J459" s="2" t="str">
        <f>'01 Product Master'!Q459</f>
        <v/>
      </c>
      <c r="K459" s="1"/>
    </row>
    <row r="460" spans="1:11" ht="16" x14ac:dyDescent="0.2">
      <c r="A460" s="1" t="str">
        <f>'01 Product Master'!A460</f>
        <v>SN-0459</v>
      </c>
      <c r="B460" s="1">
        <f>'01 Product Master'!C460</f>
        <v>0</v>
      </c>
      <c r="C460" s="7" t="str">
        <f>'01 Product Master'!J460</f>
        <v/>
      </c>
      <c r="D460" s="7" t="str">
        <f>'01 Product Master'!K460</f>
        <v/>
      </c>
      <c r="E460" s="7" t="str">
        <f>'01 Product Master'!L460</f>
        <v/>
      </c>
      <c r="F460" s="7" t="str">
        <f>'01 Product Master'!M460</f>
        <v/>
      </c>
      <c r="G460" s="7" t="str">
        <f>'01 Product Master'!N460</f>
        <v/>
      </c>
      <c r="H460" s="7">
        <f>'01 Product Master'!O460</f>
        <v>0</v>
      </c>
      <c r="I460" s="7" t="str">
        <f>'01 Product Master'!P460</f>
        <v/>
      </c>
      <c r="J460" s="2" t="str">
        <f>'01 Product Master'!Q460</f>
        <v/>
      </c>
      <c r="K460" s="1"/>
    </row>
    <row r="461" spans="1:11" ht="16" x14ac:dyDescent="0.2">
      <c r="A461" s="1" t="str">
        <f>'01 Product Master'!A461</f>
        <v>SN-0460</v>
      </c>
      <c r="B461" s="1">
        <f>'01 Product Master'!C461</f>
        <v>0</v>
      </c>
      <c r="C461" s="7" t="str">
        <f>'01 Product Master'!J461</f>
        <v/>
      </c>
      <c r="D461" s="7" t="str">
        <f>'01 Product Master'!K461</f>
        <v/>
      </c>
      <c r="E461" s="7" t="str">
        <f>'01 Product Master'!L461</f>
        <v/>
      </c>
      <c r="F461" s="7" t="str">
        <f>'01 Product Master'!M461</f>
        <v/>
      </c>
      <c r="G461" s="7" t="str">
        <f>'01 Product Master'!N461</f>
        <v/>
      </c>
      <c r="H461" s="7">
        <f>'01 Product Master'!O461</f>
        <v>0</v>
      </c>
      <c r="I461" s="7" t="str">
        <f>'01 Product Master'!P461</f>
        <v/>
      </c>
      <c r="J461" s="2" t="str">
        <f>'01 Product Master'!Q461</f>
        <v/>
      </c>
      <c r="K461" s="1"/>
    </row>
    <row r="462" spans="1:11" ht="16" x14ac:dyDescent="0.2">
      <c r="A462" s="1" t="str">
        <f>'01 Product Master'!A462</f>
        <v>SN-0461</v>
      </c>
      <c r="B462" s="1">
        <f>'01 Product Master'!C462</f>
        <v>0</v>
      </c>
      <c r="C462" s="7" t="str">
        <f>'01 Product Master'!J462</f>
        <v/>
      </c>
      <c r="D462" s="7" t="str">
        <f>'01 Product Master'!K462</f>
        <v/>
      </c>
      <c r="E462" s="7" t="str">
        <f>'01 Product Master'!L462</f>
        <v/>
      </c>
      <c r="F462" s="7" t="str">
        <f>'01 Product Master'!M462</f>
        <v/>
      </c>
      <c r="G462" s="7" t="str">
        <f>'01 Product Master'!N462</f>
        <v/>
      </c>
      <c r="H462" s="7">
        <f>'01 Product Master'!O462</f>
        <v>0</v>
      </c>
      <c r="I462" s="7" t="str">
        <f>'01 Product Master'!P462</f>
        <v/>
      </c>
      <c r="J462" s="2" t="str">
        <f>'01 Product Master'!Q462</f>
        <v/>
      </c>
      <c r="K462" s="1"/>
    </row>
    <row r="463" spans="1:11" ht="16" x14ac:dyDescent="0.2">
      <c r="A463" s="1" t="str">
        <f>'01 Product Master'!A463</f>
        <v>SN-0462</v>
      </c>
      <c r="B463" s="1">
        <f>'01 Product Master'!C463</f>
        <v>0</v>
      </c>
      <c r="C463" s="7" t="str">
        <f>'01 Product Master'!J463</f>
        <v/>
      </c>
      <c r="D463" s="7" t="str">
        <f>'01 Product Master'!K463</f>
        <v/>
      </c>
      <c r="E463" s="7" t="str">
        <f>'01 Product Master'!L463</f>
        <v/>
      </c>
      <c r="F463" s="7" t="str">
        <f>'01 Product Master'!M463</f>
        <v/>
      </c>
      <c r="G463" s="7" t="str">
        <f>'01 Product Master'!N463</f>
        <v/>
      </c>
      <c r="H463" s="7">
        <f>'01 Product Master'!O463</f>
        <v>0</v>
      </c>
      <c r="I463" s="7" t="str">
        <f>'01 Product Master'!P463</f>
        <v/>
      </c>
      <c r="J463" s="2" t="str">
        <f>'01 Product Master'!Q463</f>
        <v/>
      </c>
      <c r="K463" s="1"/>
    </row>
    <row r="464" spans="1:11" ht="16" x14ac:dyDescent="0.2">
      <c r="A464" s="1" t="str">
        <f>'01 Product Master'!A464</f>
        <v>SN-0463</v>
      </c>
      <c r="B464" s="1">
        <f>'01 Product Master'!C464</f>
        <v>0</v>
      </c>
      <c r="C464" s="7" t="str">
        <f>'01 Product Master'!J464</f>
        <v/>
      </c>
      <c r="D464" s="7" t="str">
        <f>'01 Product Master'!K464</f>
        <v/>
      </c>
      <c r="E464" s="7" t="str">
        <f>'01 Product Master'!L464</f>
        <v/>
      </c>
      <c r="F464" s="7" t="str">
        <f>'01 Product Master'!M464</f>
        <v/>
      </c>
      <c r="G464" s="7" t="str">
        <f>'01 Product Master'!N464</f>
        <v/>
      </c>
      <c r="H464" s="7">
        <f>'01 Product Master'!O464</f>
        <v>0</v>
      </c>
      <c r="I464" s="7" t="str">
        <f>'01 Product Master'!P464</f>
        <v/>
      </c>
      <c r="J464" s="2" t="str">
        <f>'01 Product Master'!Q464</f>
        <v/>
      </c>
      <c r="K464" s="1"/>
    </row>
    <row r="465" spans="1:11" ht="16" x14ac:dyDescent="0.2">
      <c r="A465" s="1" t="str">
        <f>'01 Product Master'!A465</f>
        <v>SN-0464</v>
      </c>
      <c r="B465" s="1">
        <f>'01 Product Master'!C465</f>
        <v>0</v>
      </c>
      <c r="C465" s="7" t="str">
        <f>'01 Product Master'!J465</f>
        <v/>
      </c>
      <c r="D465" s="7" t="str">
        <f>'01 Product Master'!K465</f>
        <v/>
      </c>
      <c r="E465" s="7" t="str">
        <f>'01 Product Master'!L465</f>
        <v/>
      </c>
      <c r="F465" s="7" t="str">
        <f>'01 Product Master'!M465</f>
        <v/>
      </c>
      <c r="G465" s="7" t="str">
        <f>'01 Product Master'!N465</f>
        <v/>
      </c>
      <c r="H465" s="7">
        <f>'01 Product Master'!O465</f>
        <v>0</v>
      </c>
      <c r="I465" s="7" t="str">
        <f>'01 Product Master'!P465</f>
        <v/>
      </c>
      <c r="J465" s="2" t="str">
        <f>'01 Product Master'!Q465</f>
        <v/>
      </c>
      <c r="K465" s="1"/>
    </row>
    <row r="466" spans="1:11" ht="16" x14ac:dyDescent="0.2">
      <c r="A466" s="1" t="str">
        <f>'01 Product Master'!A466</f>
        <v>SN-0465</v>
      </c>
      <c r="B466" s="1">
        <f>'01 Product Master'!C466</f>
        <v>0</v>
      </c>
      <c r="C466" s="7" t="str">
        <f>'01 Product Master'!J466</f>
        <v/>
      </c>
      <c r="D466" s="7" t="str">
        <f>'01 Product Master'!K466</f>
        <v/>
      </c>
      <c r="E466" s="7" t="str">
        <f>'01 Product Master'!L466</f>
        <v/>
      </c>
      <c r="F466" s="7" t="str">
        <f>'01 Product Master'!M466</f>
        <v/>
      </c>
      <c r="G466" s="7" t="str">
        <f>'01 Product Master'!N466</f>
        <v/>
      </c>
      <c r="H466" s="7">
        <f>'01 Product Master'!O466</f>
        <v>0</v>
      </c>
      <c r="I466" s="7" t="str">
        <f>'01 Product Master'!P466</f>
        <v/>
      </c>
      <c r="J466" s="2" t="str">
        <f>'01 Product Master'!Q466</f>
        <v/>
      </c>
      <c r="K466" s="1"/>
    </row>
    <row r="467" spans="1:11" ht="16" x14ac:dyDescent="0.2">
      <c r="A467" s="1" t="str">
        <f>'01 Product Master'!A467</f>
        <v>SN-0466</v>
      </c>
      <c r="B467" s="1">
        <f>'01 Product Master'!C467</f>
        <v>0</v>
      </c>
      <c r="C467" s="7" t="str">
        <f>'01 Product Master'!J467</f>
        <v/>
      </c>
      <c r="D467" s="7" t="str">
        <f>'01 Product Master'!K467</f>
        <v/>
      </c>
      <c r="E467" s="7" t="str">
        <f>'01 Product Master'!L467</f>
        <v/>
      </c>
      <c r="F467" s="7" t="str">
        <f>'01 Product Master'!M467</f>
        <v/>
      </c>
      <c r="G467" s="7" t="str">
        <f>'01 Product Master'!N467</f>
        <v/>
      </c>
      <c r="H467" s="7">
        <f>'01 Product Master'!O467</f>
        <v>0</v>
      </c>
      <c r="I467" s="7" t="str">
        <f>'01 Product Master'!P467</f>
        <v/>
      </c>
      <c r="J467" s="2" t="str">
        <f>'01 Product Master'!Q467</f>
        <v/>
      </c>
      <c r="K467" s="1"/>
    </row>
    <row r="468" spans="1:11" ht="16" x14ac:dyDescent="0.2">
      <c r="A468" s="1" t="str">
        <f>'01 Product Master'!A468</f>
        <v>SN-0467</v>
      </c>
      <c r="B468" s="1">
        <f>'01 Product Master'!C468</f>
        <v>0</v>
      </c>
      <c r="C468" s="7" t="str">
        <f>'01 Product Master'!J468</f>
        <v/>
      </c>
      <c r="D468" s="7" t="str">
        <f>'01 Product Master'!K468</f>
        <v/>
      </c>
      <c r="E468" s="7" t="str">
        <f>'01 Product Master'!L468</f>
        <v/>
      </c>
      <c r="F468" s="7" t="str">
        <f>'01 Product Master'!M468</f>
        <v/>
      </c>
      <c r="G468" s="7" t="str">
        <f>'01 Product Master'!N468</f>
        <v/>
      </c>
      <c r="H468" s="7">
        <f>'01 Product Master'!O468</f>
        <v>0</v>
      </c>
      <c r="I468" s="7" t="str">
        <f>'01 Product Master'!P468</f>
        <v/>
      </c>
      <c r="J468" s="2" t="str">
        <f>'01 Product Master'!Q468</f>
        <v/>
      </c>
      <c r="K468" s="1"/>
    </row>
    <row r="469" spans="1:11" ht="16" x14ac:dyDescent="0.2">
      <c r="A469" s="1" t="str">
        <f>'01 Product Master'!A469</f>
        <v>SN-0468</v>
      </c>
      <c r="B469" s="1">
        <f>'01 Product Master'!C469</f>
        <v>0</v>
      </c>
      <c r="C469" s="7" t="str">
        <f>'01 Product Master'!J469</f>
        <v/>
      </c>
      <c r="D469" s="7" t="str">
        <f>'01 Product Master'!K469</f>
        <v/>
      </c>
      <c r="E469" s="7" t="str">
        <f>'01 Product Master'!L469</f>
        <v/>
      </c>
      <c r="F469" s="7" t="str">
        <f>'01 Product Master'!M469</f>
        <v/>
      </c>
      <c r="G469" s="7" t="str">
        <f>'01 Product Master'!N469</f>
        <v/>
      </c>
      <c r="H469" s="7">
        <f>'01 Product Master'!O469</f>
        <v>0</v>
      </c>
      <c r="I469" s="7" t="str">
        <f>'01 Product Master'!P469</f>
        <v/>
      </c>
      <c r="J469" s="2" t="str">
        <f>'01 Product Master'!Q469</f>
        <v/>
      </c>
      <c r="K469" s="1"/>
    </row>
    <row r="470" spans="1:11" ht="16" x14ac:dyDescent="0.2">
      <c r="A470" s="1" t="str">
        <f>'01 Product Master'!A470</f>
        <v>SN-0469</v>
      </c>
      <c r="B470" s="1">
        <f>'01 Product Master'!C470</f>
        <v>0</v>
      </c>
      <c r="C470" s="7" t="str">
        <f>'01 Product Master'!J470</f>
        <v/>
      </c>
      <c r="D470" s="7" t="str">
        <f>'01 Product Master'!K470</f>
        <v/>
      </c>
      <c r="E470" s="7" t="str">
        <f>'01 Product Master'!L470</f>
        <v/>
      </c>
      <c r="F470" s="7" t="str">
        <f>'01 Product Master'!M470</f>
        <v/>
      </c>
      <c r="G470" s="7" t="str">
        <f>'01 Product Master'!N470</f>
        <v/>
      </c>
      <c r="H470" s="7">
        <f>'01 Product Master'!O470</f>
        <v>0</v>
      </c>
      <c r="I470" s="7" t="str">
        <f>'01 Product Master'!P470</f>
        <v/>
      </c>
      <c r="J470" s="2" t="str">
        <f>'01 Product Master'!Q470</f>
        <v/>
      </c>
      <c r="K470" s="1"/>
    </row>
    <row r="471" spans="1:11" ht="16" x14ac:dyDescent="0.2">
      <c r="A471" s="1" t="str">
        <f>'01 Product Master'!A471</f>
        <v>SN-0470</v>
      </c>
      <c r="B471" s="1">
        <f>'01 Product Master'!C471</f>
        <v>0</v>
      </c>
      <c r="C471" s="7" t="str">
        <f>'01 Product Master'!J471</f>
        <v/>
      </c>
      <c r="D471" s="7" t="str">
        <f>'01 Product Master'!K471</f>
        <v/>
      </c>
      <c r="E471" s="7" t="str">
        <f>'01 Product Master'!L471</f>
        <v/>
      </c>
      <c r="F471" s="7" t="str">
        <f>'01 Product Master'!M471</f>
        <v/>
      </c>
      <c r="G471" s="7" t="str">
        <f>'01 Product Master'!N471</f>
        <v/>
      </c>
      <c r="H471" s="7">
        <f>'01 Product Master'!O471</f>
        <v>0</v>
      </c>
      <c r="I471" s="7" t="str">
        <f>'01 Product Master'!P471</f>
        <v/>
      </c>
      <c r="J471" s="2" t="str">
        <f>'01 Product Master'!Q471</f>
        <v/>
      </c>
      <c r="K471" s="1"/>
    </row>
    <row r="472" spans="1:11" ht="16" x14ac:dyDescent="0.2">
      <c r="A472" s="1" t="str">
        <f>'01 Product Master'!A472</f>
        <v>SN-0471</v>
      </c>
      <c r="B472" s="1">
        <f>'01 Product Master'!C472</f>
        <v>0</v>
      </c>
      <c r="C472" s="7" t="str">
        <f>'01 Product Master'!J472</f>
        <v/>
      </c>
      <c r="D472" s="7" t="str">
        <f>'01 Product Master'!K472</f>
        <v/>
      </c>
      <c r="E472" s="7" t="str">
        <f>'01 Product Master'!L472</f>
        <v/>
      </c>
      <c r="F472" s="7" t="str">
        <f>'01 Product Master'!M472</f>
        <v/>
      </c>
      <c r="G472" s="7" t="str">
        <f>'01 Product Master'!N472</f>
        <v/>
      </c>
      <c r="H472" s="7">
        <f>'01 Product Master'!O472</f>
        <v>0</v>
      </c>
      <c r="I472" s="7" t="str">
        <f>'01 Product Master'!P472</f>
        <v/>
      </c>
      <c r="J472" s="2" t="str">
        <f>'01 Product Master'!Q472</f>
        <v/>
      </c>
      <c r="K472" s="1"/>
    </row>
    <row r="473" spans="1:11" ht="16" x14ac:dyDescent="0.2">
      <c r="A473" s="1" t="str">
        <f>'01 Product Master'!A473</f>
        <v>SN-0472</v>
      </c>
      <c r="B473" s="1">
        <f>'01 Product Master'!C473</f>
        <v>0</v>
      </c>
      <c r="C473" s="7" t="str">
        <f>'01 Product Master'!J473</f>
        <v/>
      </c>
      <c r="D473" s="7" t="str">
        <f>'01 Product Master'!K473</f>
        <v/>
      </c>
      <c r="E473" s="7" t="str">
        <f>'01 Product Master'!L473</f>
        <v/>
      </c>
      <c r="F473" s="7" t="str">
        <f>'01 Product Master'!M473</f>
        <v/>
      </c>
      <c r="G473" s="7" t="str">
        <f>'01 Product Master'!N473</f>
        <v/>
      </c>
      <c r="H473" s="7">
        <f>'01 Product Master'!O473</f>
        <v>0</v>
      </c>
      <c r="I473" s="7" t="str">
        <f>'01 Product Master'!P473</f>
        <v/>
      </c>
      <c r="J473" s="2" t="str">
        <f>'01 Product Master'!Q473</f>
        <v/>
      </c>
      <c r="K473" s="1"/>
    </row>
    <row r="474" spans="1:11" ht="16" x14ac:dyDescent="0.2">
      <c r="A474" s="1" t="str">
        <f>'01 Product Master'!A474</f>
        <v>SN-0473</v>
      </c>
      <c r="B474" s="1">
        <f>'01 Product Master'!C474</f>
        <v>0</v>
      </c>
      <c r="C474" s="7" t="str">
        <f>'01 Product Master'!J474</f>
        <v/>
      </c>
      <c r="D474" s="7" t="str">
        <f>'01 Product Master'!K474</f>
        <v/>
      </c>
      <c r="E474" s="7" t="str">
        <f>'01 Product Master'!L474</f>
        <v/>
      </c>
      <c r="F474" s="7" t="str">
        <f>'01 Product Master'!M474</f>
        <v/>
      </c>
      <c r="G474" s="7" t="str">
        <f>'01 Product Master'!N474</f>
        <v/>
      </c>
      <c r="H474" s="7">
        <f>'01 Product Master'!O474</f>
        <v>0</v>
      </c>
      <c r="I474" s="7" t="str">
        <f>'01 Product Master'!P474</f>
        <v/>
      </c>
      <c r="J474" s="2" t="str">
        <f>'01 Product Master'!Q474</f>
        <v/>
      </c>
      <c r="K474" s="1"/>
    </row>
    <row r="475" spans="1:11" ht="16" x14ac:dyDescent="0.2">
      <c r="A475" s="1" t="str">
        <f>'01 Product Master'!A475</f>
        <v>SN-0474</v>
      </c>
      <c r="B475" s="1">
        <f>'01 Product Master'!C475</f>
        <v>0</v>
      </c>
      <c r="C475" s="7" t="str">
        <f>'01 Product Master'!J475</f>
        <v/>
      </c>
      <c r="D475" s="7" t="str">
        <f>'01 Product Master'!K475</f>
        <v/>
      </c>
      <c r="E475" s="7" t="str">
        <f>'01 Product Master'!L475</f>
        <v/>
      </c>
      <c r="F475" s="7" t="str">
        <f>'01 Product Master'!M475</f>
        <v/>
      </c>
      <c r="G475" s="7" t="str">
        <f>'01 Product Master'!N475</f>
        <v/>
      </c>
      <c r="H475" s="7">
        <f>'01 Product Master'!O475</f>
        <v>0</v>
      </c>
      <c r="I475" s="7" t="str">
        <f>'01 Product Master'!P475</f>
        <v/>
      </c>
      <c r="J475" s="2" t="str">
        <f>'01 Product Master'!Q475</f>
        <v/>
      </c>
      <c r="K475" s="1"/>
    </row>
    <row r="476" spans="1:11" ht="16" x14ac:dyDescent="0.2">
      <c r="A476" s="1" t="str">
        <f>'01 Product Master'!A476</f>
        <v>SN-0475</v>
      </c>
      <c r="B476" s="1">
        <f>'01 Product Master'!C476</f>
        <v>0</v>
      </c>
      <c r="C476" s="7" t="str">
        <f>'01 Product Master'!J476</f>
        <v/>
      </c>
      <c r="D476" s="7" t="str">
        <f>'01 Product Master'!K476</f>
        <v/>
      </c>
      <c r="E476" s="7" t="str">
        <f>'01 Product Master'!L476</f>
        <v/>
      </c>
      <c r="F476" s="7" t="str">
        <f>'01 Product Master'!M476</f>
        <v/>
      </c>
      <c r="G476" s="7" t="str">
        <f>'01 Product Master'!N476</f>
        <v/>
      </c>
      <c r="H476" s="7">
        <f>'01 Product Master'!O476</f>
        <v>0</v>
      </c>
      <c r="I476" s="7" t="str">
        <f>'01 Product Master'!P476</f>
        <v/>
      </c>
      <c r="J476" s="2" t="str">
        <f>'01 Product Master'!Q476</f>
        <v/>
      </c>
      <c r="K476" s="1"/>
    </row>
    <row r="477" spans="1:11" ht="16" x14ac:dyDescent="0.2">
      <c r="A477" s="1" t="str">
        <f>'01 Product Master'!A477</f>
        <v>SN-0476</v>
      </c>
      <c r="B477" s="1">
        <f>'01 Product Master'!C477</f>
        <v>0</v>
      </c>
      <c r="C477" s="7" t="str">
        <f>'01 Product Master'!J477</f>
        <v/>
      </c>
      <c r="D477" s="7" t="str">
        <f>'01 Product Master'!K477</f>
        <v/>
      </c>
      <c r="E477" s="7" t="str">
        <f>'01 Product Master'!L477</f>
        <v/>
      </c>
      <c r="F477" s="7" t="str">
        <f>'01 Product Master'!M477</f>
        <v/>
      </c>
      <c r="G477" s="7" t="str">
        <f>'01 Product Master'!N477</f>
        <v/>
      </c>
      <c r="H477" s="7">
        <f>'01 Product Master'!O477</f>
        <v>0</v>
      </c>
      <c r="I477" s="7" t="str">
        <f>'01 Product Master'!P477</f>
        <v/>
      </c>
      <c r="J477" s="2" t="str">
        <f>'01 Product Master'!Q477</f>
        <v/>
      </c>
      <c r="K477" s="1"/>
    </row>
    <row r="478" spans="1:11" ht="16" x14ac:dyDescent="0.2">
      <c r="A478" s="1" t="str">
        <f>'01 Product Master'!A478</f>
        <v>SN-0477</v>
      </c>
      <c r="B478" s="1">
        <f>'01 Product Master'!C478</f>
        <v>0</v>
      </c>
      <c r="C478" s="7" t="str">
        <f>'01 Product Master'!J478</f>
        <v/>
      </c>
      <c r="D478" s="7" t="str">
        <f>'01 Product Master'!K478</f>
        <v/>
      </c>
      <c r="E478" s="7" t="str">
        <f>'01 Product Master'!L478</f>
        <v/>
      </c>
      <c r="F478" s="7" t="str">
        <f>'01 Product Master'!M478</f>
        <v/>
      </c>
      <c r="G478" s="7" t="str">
        <f>'01 Product Master'!N478</f>
        <v/>
      </c>
      <c r="H478" s="7">
        <f>'01 Product Master'!O478</f>
        <v>0</v>
      </c>
      <c r="I478" s="7" t="str">
        <f>'01 Product Master'!P478</f>
        <v/>
      </c>
      <c r="J478" s="2" t="str">
        <f>'01 Product Master'!Q478</f>
        <v/>
      </c>
      <c r="K478" s="1"/>
    </row>
    <row r="479" spans="1:11" ht="16" x14ac:dyDescent="0.2">
      <c r="A479" s="1" t="str">
        <f>'01 Product Master'!A479</f>
        <v>SN-0478</v>
      </c>
      <c r="B479" s="1">
        <f>'01 Product Master'!C479</f>
        <v>0</v>
      </c>
      <c r="C479" s="7" t="str">
        <f>'01 Product Master'!J479</f>
        <v/>
      </c>
      <c r="D479" s="7" t="str">
        <f>'01 Product Master'!K479</f>
        <v/>
      </c>
      <c r="E479" s="7" t="str">
        <f>'01 Product Master'!L479</f>
        <v/>
      </c>
      <c r="F479" s="7" t="str">
        <f>'01 Product Master'!M479</f>
        <v/>
      </c>
      <c r="G479" s="7" t="str">
        <f>'01 Product Master'!N479</f>
        <v/>
      </c>
      <c r="H479" s="7">
        <f>'01 Product Master'!O479</f>
        <v>0</v>
      </c>
      <c r="I479" s="7" t="str">
        <f>'01 Product Master'!P479</f>
        <v/>
      </c>
      <c r="J479" s="2" t="str">
        <f>'01 Product Master'!Q479</f>
        <v/>
      </c>
      <c r="K479" s="1"/>
    </row>
    <row r="480" spans="1:11" ht="16" x14ac:dyDescent="0.2">
      <c r="A480" s="1" t="str">
        <f>'01 Product Master'!A480</f>
        <v>SN-0479</v>
      </c>
      <c r="B480" s="1">
        <f>'01 Product Master'!C480</f>
        <v>0</v>
      </c>
      <c r="C480" s="7" t="str">
        <f>'01 Product Master'!J480</f>
        <v/>
      </c>
      <c r="D480" s="7" t="str">
        <f>'01 Product Master'!K480</f>
        <v/>
      </c>
      <c r="E480" s="7" t="str">
        <f>'01 Product Master'!L480</f>
        <v/>
      </c>
      <c r="F480" s="7" t="str">
        <f>'01 Product Master'!M480</f>
        <v/>
      </c>
      <c r="G480" s="7" t="str">
        <f>'01 Product Master'!N480</f>
        <v/>
      </c>
      <c r="H480" s="7">
        <f>'01 Product Master'!O480</f>
        <v>0</v>
      </c>
      <c r="I480" s="7" t="str">
        <f>'01 Product Master'!P480</f>
        <v/>
      </c>
      <c r="J480" s="2" t="str">
        <f>'01 Product Master'!Q480</f>
        <v/>
      </c>
      <c r="K480" s="1"/>
    </row>
    <row r="481" spans="1:11" ht="16" x14ac:dyDescent="0.2">
      <c r="A481" s="1" t="str">
        <f>'01 Product Master'!A481</f>
        <v>SN-0480</v>
      </c>
      <c r="B481" s="1">
        <f>'01 Product Master'!C481</f>
        <v>0</v>
      </c>
      <c r="C481" s="7" t="str">
        <f>'01 Product Master'!J481</f>
        <v/>
      </c>
      <c r="D481" s="7" t="str">
        <f>'01 Product Master'!K481</f>
        <v/>
      </c>
      <c r="E481" s="7" t="str">
        <f>'01 Product Master'!L481</f>
        <v/>
      </c>
      <c r="F481" s="7" t="str">
        <f>'01 Product Master'!M481</f>
        <v/>
      </c>
      <c r="G481" s="7" t="str">
        <f>'01 Product Master'!N481</f>
        <v/>
      </c>
      <c r="H481" s="7">
        <f>'01 Product Master'!O481</f>
        <v>0</v>
      </c>
      <c r="I481" s="7" t="str">
        <f>'01 Product Master'!P481</f>
        <v/>
      </c>
      <c r="J481" s="2" t="str">
        <f>'01 Product Master'!Q481</f>
        <v/>
      </c>
      <c r="K481" s="1"/>
    </row>
    <row r="482" spans="1:11" ht="16" x14ac:dyDescent="0.2">
      <c r="A482" s="1" t="str">
        <f>'01 Product Master'!A482</f>
        <v>SN-0481</v>
      </c>
      <c r="B482" s="1">
        <f>'01 Product Master'!C482</f>
        <v>0</v>
      </c>
      <c r="C482" s="7" t="str">
        <f>'01 Product Master'!J482</f>
        <v/>
      </c>
      <c r="D482" s="7" t="str">
        <f>'01 Product Master'!K482</f>
        <v/>
      </c>
      <c r="E482" s="7" t="str">
        <f>'01 Product Master'!L482</f>
        <v/>
      </c>
      <c r="F482" s="7" t="str">
        <f>'01 Product Master'!M482</f>
        <v/>
      </c>
      <c r="G482" s="7" t="str">
        <f>'01 Product Master'!N482</f>
        <v/>
      </c>
      <c r="H482" s="7">
        <f>'01 Product Master'!O482</f>
        <v>0</v>
      </c>
      <c r="I482" s="7" t="str">
        <f>'01 Product Master'!P482</f>
        <v/>
      </c>
      <c r="J482" s="2" t="str">
        <f>'01 Product Master'!Q482</f>
        <v/>
      </c>
      <c r="K482" s="1"/>
    </row>
    <row r="483" spans="1:11" ht="16" x14ac:dyDescent="0.2">
      <c r="A483" s="1" t="str">
        <f>'01 Product Master'!A483</f>
        <v>SN-0482</v>
      </c>
      <c r="B483" s="1">
        <f>'01 Product Master'!C483</f>
        <v>0</v>
      </c>
      <c r="C483" s="7" t="str">
        <f>'01 Product Master'!J483</f>
        <v/>
      </c>
      <c r="D483" s="7" t="str">
        <f>'01 Product Master'!K483</f>
        <v/>
      </c>
      <c r="E483" s="7" t="str">
        <f>'01 Product Master'!L483</f>
        <v/>
      </c>
      <c r="F483" s="7" t="str">
        <f>'01 Product Master'!M483</f>
        <v/>
      </c>
      <c r="G483" s="7" t="str">
        <f>'01 Product Master'!N483</f>
        <v/>
      </c>
      <c r="H483" s="7">
        <f>'01 Product Master'!O483</f>
        <v>0</v>
      </c>
      <c r="I483" s="7" t="str">
        <f>'01 Product Master'!P483</f>
        <v/>
      </c>
      <c r="J483" s="2" t="str">
        <f>'01 Product Master'!Q483</f>
        <v/>
      </c>
      <c r="K483" s="1"/>
    </row>
    <row r="484" spans="1:11" ht="16" x14ac:dyDescent="0.2">
      <c r="A484" s="1" t="str">
        <f>'01 Product Master'!A484</f>
        <v>SN-0483</v>
      </c>
      <c r="B484" s="1">
        <f>'01 Product Master'!C484</f>
        <v>0</v>
      </c>
      <c r="C484" s="7" t="str">
        <f>'01 Product Master'!J484</f>
        <v/>
      </c>
      <c r="D484" s="7" t="str">
        <f>'01 Product Master'!K484</f>
        <v/>
      </c>
      <c r="E484" s="7" t="str">
        <f>'01 Product Master'!L484</f>
        <v/>
      </c>
      <c r="F484" s="7" t="str">
        <f>'01 Product Master'!M484</f>
        <v/>
      </c>
      <c r="G484" s="7" t="str">
        <f>'01 Product Master'!N484</f>
        <v/>
      </c>
      <c r="H484" s="7">
        <f>'01 Product Master'!O484</f>
        <v>0</v>
      </c>
      <c r="I484" s="7" t="str">
        <f>'01 Product Master'!P484</f>
        <v/>
      </c>
      <c r="J484" s="2" t="str">
        <f>'01 Product Master'!Q484</f>
        <v/>
      </c>
      <c r="K484" s="1"/>
    </row>
    <row r="485" spans="1:11" ht="16" x14ac:dyDescent="0.2">
      <c r="A485" s="1" t="str">
        <f>'01 Product Master'!A485</f>
        <v>SN-0484</v>
      </c>
      <c r="B485" s="1">
        <f>'01 Product Master'!C485</f>
        <v>0</v>
      </c>
      <c r="C485" s="7" t="str">
        <f>'01 Product Master'!J485</f>
        <v/>
      </c>
      <c r="D485" s="7" t="str">
        <f>'01 Product Master'!K485</f>
        <v/>
      </c>
      <c r="E485" s="7" t="str">
        <f>'01 Product Master'!L485</f>
        <v/>
      </c>
      <c r="F485" s="7" t="str">
        <f>'01 Product Master'!M485</f>
        <v/>
      </c>
      <c r="G485" s="7" t="str">
        <f>'01 Product Master'!N485</f>
        <v/>
      </c>
      <c r="H485" s="7">
        <f>'01 Product Master'!O485</f>
        <v>0</v>
      </c>
      <c r="I485" s="7" t="str">
        <f>'01 Product Master'!P485</f>
        <v/>
      </c>
      <c r="J485" s="2" t="str">
        <f>'01 Product Master'!Q485</f>
        <v/>
      </c>
      <c r="K485" s="1"/>
    </row>
    <row r="486" spans="1:11" ht="16" x14ac:dyDescent="0.2">
      <c r="A486" s="1" t="str">
        <f>'01 Product Master'!A486</f>
        <v>SN-0485</v>
      </c>
      <c r="B486" s="1">
        <f>'01 Product Master'!C486</f>
        <v>0</v>
      </c>
      <c r="C486" s="7" t="str">
        <f>'01 Product Master'!J486</f>
        <v/>
      </c>
      <c r="D486" s="7" t="str">
        <f>'01 Product Master'!K486</f>
        <v/>
      </c>
      <c r="E486" s="7" t="str">
        <f>'01 Product Master'!L486</f>
        <v/>
      </c>
      <c r="F486" s="7" t="str">
        <f>'01 Product Master'!M486</f>
        <v/>
      </c>
      <c r="G486" s="7" t="str">
        <f>'01 Product Master'!N486</f>
        <v/>
      </c>
      <c r="H486" s="7">
        <f>'01 Product Master'!O486</f>
        <v>0</v>
      </c>
      <c r="I486" s="7" t="str">
        <f>'01 Product Master'!P486</f>
        <v/>
      </c>
      <c r="J486" s="2" t="str">
        <f>'01 Product Master'!Q486</f>
        <v/>
      </c>
      <c r="K486" s="1"/>
    </row>
    <row r="487" spans="1:11" ht="16" x14ac:dyDescent="0.2">
      <c r="A487" s="1" t="str">
        <f>'01 Product Master'!A487</f>
        <v>SN-0486</v>
      </c>
      <c r="B487" s="1">
        <f>'01 Product Master'!C487</f>
        <v>0</v>
      </c>
      <c r="C487" s="7" t="str">
        <f>'01 Product Master'!J487</f>
        <v/>
      </c>
      <c r="D487" s="7" t="str">
        <f>'01 Product Master'!K487</f>
        <v/>
      </c>
      <c r="E487" s="7" t="str">
        <f>'01 Product Master'!L487</f>
        <v/>
      </c>
      <c r="F487" s="7" t="str">
        <f>'01 Product Master'!M487</f>
        <v/>
      </c>
      <c r="G487" s="7" t="str">
        <f>'01 Product Master'!N487</f>
        <v/>
      </c>
      <c r="H487" s="7">
        <f>'01 Product Master'!O487</f>
        <v>0</v>
      </c>
      <c r="I487" s="7" t="str">
        <f>'01 Product Master'!P487</f>
        <v/>
      </c>
      <c r="J487" s="2" t="str">
        <f>'01 Product Master'!Q487</f>
        <v/>
      </c>
      <c r="K487" s="1"/>
    </row>
    <row r="488" spans="1:11" ht="16" x14ac:dyDescent="0.2">
      <c r="A488" s="1" t="str">
        <f>'01 Product Master'!A488</f>
        <v>SN-0487</v>
      </c>
      <c r="B488" s="1">
        <f>'01 Product Master'!C488</f>
        <v>0</v>
      </c>
      <c r="C488" s="7" t="str">
        <f>'01 Product Master'!J488</f>
        <v/>
      </c>
      <c r="D488" s="7" t="str">
        <f>'01 Product Master'!K488</f>
        <v/>
      </c>
      <c r="E488" s="7" t="str">
        <f>'01 Product Master'!L488</f>
        <v/>
      </c>
      <c r="F488" s="7" t="str">
        <f>'01 Product Master'!M488</f>
        <v/>
      </c>
      <c r="G488" s="7" t="str">
        <f>'01 Product Master'!N488</f>
        <v/>
      </c>
      <c r="H488" s="7">
        <f>'01 Product Master'!O488</f>
        <v>0</v>
      </c>
      <c r="I488" s="7" t="str">
        <f>'01 Product Master'!P488</f>
        <v/>
      </c>
      <c r="J488" s="2" t="str">
        <f>'01 Product Master'!Q488</f>
        <v/>
      </c>
      <c r="K488" s="1"/>
    </row>
    <row r="489" spans="1:11" ht="16" x14ac:dyDescent="0.2">
      <c r="A489" s="1" t="str">
        <f>'01 Product Master'!A489</f>
        <v>SN-0488</v>
      </c>
      <c r="B489" s="1">
        <f>'01 Product Master'!C489</f>
        <v>0</v>
      </c>
      <c r="C489" s="7" t="str">
        <f>'01 Product Master'!J489</f>
        <v/>
      </c>
      <c r="D489" s="7" t="str">
        <f>'01 Product Master'!K489</f>
        <v/>
      </c>
      <c r="E489" s="7" t="str">
        <f>'01 Product Master'!L489</f>
        <v/>
      </c>
      <c r="F489" s="7" t="str">
        <f>'01 Product Master'!M489</f>
        <v/>
      </c>
      <c r="G489" s="7" t="str">
        <f>'01 Product Master'!N489</f>
        <v/>
      </c>
      <c r="H489" s="7">
        <f>'01 Product Master'!O489</f>
        <v>0</v>
      </c>
      <c r="I489" s="7" t="str">
        <f>'01 Product Master'!P489</f>
        <v/>
      </c>
      <c r="J489" s="2" t="str">
        <f>'01 Product Master'!Q489</f>
        <v/>
      </c>
      <c r="K489" s="1"/>
    </row>
    <row r="490" spans="1:11" ht="16" x14ac:dyDescent="0.2">
      <c r="A490" s="1" t="str">
        <f>'01 Product Master'!A490</f>
        <v>SN-0489</v>
      </c>
      <c r="B490" s="1">
        <f>'01 Product Master'!C490</f>
        <v>0</v>
      </c>
      <c r="C490" s="7" t="str">
        <f>'01 Product Master'!J490</f>
        <v/>
      </c>
      <c r="D490" s="7" t="str">
        <f>'01 Product Master'!K490</f>
        <v/>
      </c>
      <c r="E490" s="7" t="str">
        <f>'01 Product Master'!L490</f>
        <v/>
      </c>
      <c r="F490" s="7" t="str">
        <f>'01 Product Master'!M490</f>
        <v/>
      </c>
      <c r="G490" s="7" t="str">
        <f>'01 Product Master'!N490</f>
        <v/>
      </c>
      <c r="H490" s="7">
        <f>'01 Product Master'!O490</f>
        <v>0</v>
      </c>
      <c r="I490" s="7" t="str">
        <f>'01 Product Master'!P490</f>
        <v/>
      </c>
      <c r="J490" s="2" t="str">
        <f>'01 Product Master'!Q490</f>
        <v/>
      </c>
      <c r="K490" s="1"/>
    </row>
    <row r="491" spans="1:11" ht="16" x14ac:dyDescent="0.2">
      <c r="A491" s="1" t="str">
        <f>'01 Product Master'!A491</f>
        <v>SN-0490</v>
      </c>
      <c r="B491" s="1">
        <f>'01 Product Master'!C491</f>
        <v>0</v>
      </c>
      <c r="C491" s="7" t="str">
        <f>'01 Product Master'!J491</f>
        <v/>
      </c>
      <c r="D491" s="7" t="str">
        <f>'01 Product Master'!K491</f>
        <v/>
      </c>
      <c r="E491" s="7" t="str">
        <f>'01 Product Master'!L491</f>
        <v/>
      </c>
      <c r="F491" s="7" t="str">
        <f>'01 Product Master'!M491</f>
        <v/>
      </c>
      <c r="G491" s="7" t="str">
        <f>'01 Product Master'!N491</f>
        <v/>
      </c>
      <c r="H491" s="7">
        <f>'01 Product Master'!O491</f>
        <v>0</v>
      </c>
      <c r="I491" s="7" t="str">
        <f>'01 Product Master'!P491</f>
        <v/>
      </c>
      <c r="J491" s="2" t="str">
        <f>'01 Product Master'!Q491</f>
        <v/>
      </c>
      <c r="K491" s="1"/>
    </row>
    <row r="492" spans="1:11" ht="16" x14ac:dyDescent="0.2">
      <c r="A492" s="1" t="str">
        <f>'01 Product Master'!A492</f>
        <v>SN-0491</v>
      </c>
      <c r="B492" s="1">
        <f>'01 Product Master'!C492</f>
        <v>0</v>
      </c>
      <c r="C492" s="7" t="str">
        <f>'01 Product Master'!J492</f>
        <v/>
      </c>
      <c r="D492" s="7" t="str">
        <f>'01 Product Master'!K492</f>
        <v/>
      </c>
      <c r="E492" s="7" t="str">
        <f>'01 Product Master'!L492</f>
        <v/>
      </c>
      <c r="F492" s="7" t="str">
        <f>'01 Product Master'!M492</f>
        <v/>
      </c>
      <c r="G492" s="7" t="str">
        <f>'01 Product Master'!N492</f>
        <v/>
      </c>
      <c r="H492" s="7">
        <f>'01 Product Master'!O492</f>
        <v>0</v>
      </c>
      <c r="I492" s="7" t="str">
        <f>'01 Product Master'!P492</f>
        <v/>
      </c>
      <c r="J492" s="2" t="str">
        <f>'01 Product Master'!Q492</f>
        <v/>
      </c>
      <c r="K492" s="1"/>
    </row>
    <row r="493" spans="1:11" ht="16" x14ac:dyDescent="0.2">
      <c r="A493" s="1" t="str">
        <f>'01 Product Master'!A493</f>
        <v>SN-0492</v>
      </c>
      <c r="B493" s="1">
        <f>'01 Product Master'!C493</f>
        <v>0</v>
      </c>
      <c r="C493" s="7" t="str">
        <f>'01 Product Master'!J493</f>
        <v/>
      </c>
      <c r="D493" s="7" t="str">
        <f>'01 Product Master'!K493</f>
        <v/>
      </c>
      <c r="E493" s="7" t="str">
        <f>'01 Product Master'!L493</f>
        <v/>
      </c>
      <c r="F493" s="7" t="str">
        <f>'01 Product Master'!M493</f>
        <v/>
      </c>
      <c r="G493" s="7" t="str">
        <f>'01 Product Master'!N493</f>
        <v/>
      </c>
      <c r="H493" s="7">
        <f>'01 Product Master'!O493</f>
        <v>0</v>
      </c>
      <c r="I493" s="7" t="str">
        <f>'01 Product Master'!P493</f>
        <v/>
      </c>
      <c r="J493" s="2" t="str">
        <f>'01 Product Master'!Q493</f>
        <v/>
      </c>
      <c r="K493" s="1"/>
    </row>
    <row r="494" spans="1:11" ht="16" x14ac:dyDescent="0.2">
      <c r="A494" s="1" t="str">
        <f>'01 Product Master'!A494</f>
        <v>SN-0493</v>
      </c>
      <c r="B494" s="1">
        <f>'01 Product Master'!C494</f>
        <v>0</v>
      </c>
      <c r="C494" s="7" t="str">
        <f>'01 Product Master'!J494</f>
        <v/>
      </c>
      <c r="D494" s="7" t="str">
        <f>'01 Product Master'!K494</f>
        <v/>
      </c>
      <c r="E494" s="7" t="str">
        <f>'01 Product Master'!L494</f>
        <v/>
      </c>
      <c r="F494" s="7" t="str">
        <f>'01 Product Master'!M494</f>
        <v/>
      </c>
      <c r="G494" s="7" t="str">
        <f>'01 Product Master'!N494</f>
        <v/>
      </c>
      <c r="H494" s="7">
        <f>'01 Product Master'!O494</f>
        <v>0</v>
      </c>
      <c r="I494" s="7" t="str">
        <f>'01 Product Master'!P494</f>
        <v/>
      </c>
      <c r="J494" s="2" t="str">
        <f>'01 Product Master'!Q494</f>
        <v/>
      </c>
      <c r="K494" s="1"/>
    </row>
    <row r="495" spans="1:11" ht="16" x14ac:dyDescent="0.2">
      <c r="A495" s="1" t="str">
        <f>'01 Product Master'!A495</f>
        <v>SN-0494</v>
      </c>
      <c r="B495" s="1">
        <f>'01 Product Master'!C495</f>
        <v>0</v>
      </c>
      <c r="C495" s="7" t="str">
        <f>'01 Product Master'!J495</f>
        <v/>
      </c>
      <c r="D495" s="7" t="str">
        <f>'01 Product Master'!K495</f>
        <v/>
      </c>
      <c r="E495" s="7" t="str">
        <f>'01 Product Master'!L495</f>
        <v/>
      </c>
      <c r="F495" s="7" t="str">
        <f>'01 Product Master'!M495</f>
        <v/>
      </c>
      <c r="G495" s="7" t="str">
        <f>'01 Product Master'!N495</f>
        <v/>
      </c>
      <c r="H495" s="7">
        <f>'01 Product Master'!O495</f>
        <v>0</v>
      </c>
      <c r="I495" s="7" t="str">
        <f>'01 Product Master'!P495</f>
        <v/>
      </c>
      <c r="J495" s="2" t="str">
        <f>'01 Product Master'!Q495</f>
        <v/>
      </c>
      <c r="K495" s="1"/>
    </row>
    <row r="496" spans="1:11" ht="16" x14ac:dyDescent="0.2">
      <c r="A496" s="1" t="str">
        <f>'01 Product Master'!A496</f>
        <v>SN-0495</v>
      </c>
      <c r="B496" s="1">
        <f>'01 Product Master'!C496</f>
        <v>0</v>
      </c>
      <c r="C496" s="7" t="str">
        <f>'01 Product Master'!J496</f>
        <v/>
      </c>
      <c r="D496" s="7" t="str">
        <f>'01 Product Master'!K496</f>
        <v/>
      </c>
      <c r="E496" s="7" t="str">
        <f>'01 Product Master'!L496</f>
        <v/>
      </c>
      <c r="F496" s="7" t="str">
        <f>'01 Product Master'!M496</f>
        <v/>
      </c>
      <c r="G496" s="7" t="str">
        <f>'01 Product Master'!N496</f>
        <v/>
      </c>
      <c r="H496" s="7">
        <f>'01 Product Master'!O496</f>
        <v>0</v>
      </c>
      <c r="I496" s="7" t="str">
        <f>'01 Product Master'!P496</f>
        <v/>
      </c>
      <c r="J496" s="2" t="str">
        <f>'01 Product Master'!Q496</f>
        <v/>
      </c>
      <c r="K496" s="1"/>
    </row>
    <row r="497" spans="1:11" ht="16" x14ac:dyDescent="0.2">
      <c r="A497" s="1" t="str">
        <f>'01 Product Master'!A497</f>
        <v>SN-0496</v>
      </c>
      <c r="B497" s="1">
        <f>'01 Product Master'!C497</f>
        <v>0</v>
      </c>
      <c r="C497" s="7" t="str">
        <f>'01 Product Master'!J497</f>
        <v/>
      </c>
      <c r="D497" s="7" t="str">
        <f>'01 Product Master'!K497</f>
        <v/>
      </c>
      <c r="E497" s="7" t="str">
        <f>'01 Product Master'!L497</f>
        <v/>
      </c>
      <c r="F497" s="7" t="str">
        <f>'01 Product Master'!M497</f>
        <v/>
      </c>
      <c r="G497" s="7" t="str">
        <f>'01 Product Master'!N497</f>
        <v/>
      </c>
      <c r="H497" s="7">
        <f>'01 Product Master'!O497</f>
        <v>0</v>
      </c>
      <c r="I497" s="7" t="str">
        <f>'01 Product Master'!P497</f>
        <v/>
      </c>
      <c r="J497" s="2" t="str">
        <f>'01 Product Master'!Q497</f>
        <v/>
      </c>
      <c r="K497" s="1"/>
    </row>
    <row r="498" spans="1:11" ht="16" x14ac:dyDescent="0.2">
      <c r="A498" s="1" t="str">
        <f>'01 Product Master'!A498</f>
        <v>SN-0497</v>
      </c>
      <c r="B498" s="1">
        <f>'01 Product Master'!C498</f>
        <v>0</v>
      </c>
      <c r="C498" s="7" t="str">
        <f>'01 Product Master'!J498</f>
        <v/>
      </c>
      <c r="D498" s="7" t="str">
        <f>'01 Product Master'!K498</f>
        <v/>
      </c>
      <c r="E498" s="7" t="str">
        <f>'01 Product Master'!L498</f>
        <v/>
      </c>
      <c r="F498" s="7" t="str">
        <f>'01 Product Master'!M498</f>
        <v/>
      </c>
      <c r="G498" s="7" t="str">
        <f>'01 Product Master'!N498</f>
        <v/>
      </c>
      <c r="H498" s="7">
        <f>'01 Product Master'!O498</f>
        <v>0</v>
      </c>
      <c r="I498" s="7" t="str">
        <f>'01 Product Master'!P498</f>
        <v/>
      </c>
      <c r="J498" s="2" t="str">
        <f>'01 Product Master'!Q498</f>
        <v/>
      </c>
      <c r="K498" s="1"/>
    </row>
    <row r="499" spans="1:11" ht="16" x14ac:dyDescent="0.2">
      <c r="A499" s="1" t="str">
        <f>'01 Product Master'!A499</f>
        <v>SN-0498</v>
      </c>
      <c r="B499" s="1">
        <f>'01 Product Master'!C499</f>
        <v>0</v>
      </c>
      <c r="C499" s="7" t="str">
        <f>'01 Product Master'!J499</f>
        <v/>
      </c>
      <c r="D499" s="7" t="str">
        <f>'01 Product Master'!K499</f>
        <v/>
      </c>
      <c r="E499" s="7" t="str">
        <f>'01 Product Master'!L499</f>
        <v/>
      </c>
      <c r="F499" s="7" t="str">
        <f>'01 Product Master'!M499</f>
        <v/>
      </c>
      <c r="G499" s="7" t="str">
        <f>'01 Product Master'!N499</f>
        <v/>
      </c>
      <c r="H499" s="7">
        <f>'01 Product Master'!O499</f>
        <v>0</v>
      </c>
      <c r="I499" s="7" t="str">
        <f>'01 Product Master'!P499</f>
        <v/>
      </c>
      <c r="J499" s="2" t="str">
        <f>'01 Product Master'!Q499</f>
        <v/>
      </c>
      <c r="K499" s="1"/>
    </row>
    <row r="500" spans="1:11" ht="16" x14ac:dyDescent="0.2">
      <c r="A500" s="1" t="str">
        <f>'01 Product Master'!A500</f>
        <v>SN-0499</v>
      </c>
      <c r="B500" s="1">
        <f>'01 Product Master'!C500</f>
        <v>0</v>
      </c>
      <c r="C500" s="7" t="str">
        <f>'01 Product Master'!J500</f>
        <v/>
      </c>
      <c r="D500" s="7" t="str">
        <f>'01 Product Master'!K500</f>
        <v/>
      </c>
      <c r="E500" s="7" t="str">
        <f>'01 Product Master'!L500</f>
        <v/>
      </c>
      <c r="F500" s="7" t="str">
        <f>'01 Product Master'!M500</f>
        <v/>
      </c>
      <c r="G500" s="7" t="str">
        <f>'01 Product Master'!N500</f>
        <v/>
      </c>
      <c r="H500" s="7">
        <f>'01 Product Master'!O500</f>
        <v>0</v>
      </c>
      <c r="I500" s="7" t="str">
        <f>'01 Product Master'!P500</f>
        <v/>
      </c>
      <c r="J500" s="2" t="str">
        <f>'01 Product Master'!Q500</f>
        <v/>
      </c>
      <c r="K500" s="1"/>
    </row>
  </sheetData>
  <autoFilter ref="A1:K500" xr:uid="{00000000-0009-0000-0000-000003000000}"/>
  <pageMargins left="0.25" right="0.25" top="0.5" bottom="0.5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12"/>
  <sheetViews>
    <sheetView showGridLines="0" tabSelected="1" workbookViewId="0">
      <selection sqref="A1:F1"/>
    </sheetView>
  </sheetViews>
  <sheetFormatPr baseColWidth="10" defaultColWidth="8.83203125" defaultRowHeight="15" x14ac:dyDescent="0.2"/>
  <cols>
    <col min="1" max="1" width="24" customWidth="1"/>
    <col min="2" max="2" width="18" customWidth="1"/>
    <col min="3" max="3" width="24" customWidth="1"/>
    <col min="4" max="4" width="18" customWidth="1"/>
    <col min="5" max="5" width="24" customWidth="1"/>
    <col min="6" max="7" width="18" customWidth="1"/>
  </cols>
  <sheetData>
    <row r="1" spans="1:6" ht="42" customHeight="1" x14ac:dyDescent="0.2">
      <c r="A1" s="25" t="s">
        <v>605</v>
      </c>
      <c r="B1" s="23"/>
      <c r="C1" s="23"/>
      <c r="D1" s="23"/>
      <c r="E1" s="23"/>
      <c r="F1" s="23"/>
    </row>
    <row r="4" spans="1:6" ht="21" x14ac:dyDescent="0.25">
      <c r="A4" s="3" t="s">
        <v>606</v>
      </c>
      <c r="B4" s="4">
        <f>COUNTA('01 Product Master'!C2:C500)</f>
        <v>179</v>
      </c>
      <c r="C4" s="3" t="s">
        <v>607</v>
      </c>
      <c r="D4" s="4">
        <f>COUNT('01 Product Master'!J2:J500)</f>
        <v>94</v>
      </c>
      <c r="E4" s="3" t="s">
        <v>608</v>
      </c>
      <c r="F4" s="4">
        <f>COUNT('01 Product Master'!K2:K500)</f>
        <v>94</v>
      </c>
    </row>
    <row r="6" spans="1:6" ht="21" x14ac:dyDescent="0.25">
      <c r="A6" s="3" t="s">
        <v>609</v>
      </c>
      <c r="B6" s="5">
        <f>IFERROR(AVERAGE('01 Product Master'!J2:J500),0)</f>
        <v>461.71276595744683</v>
      </c>
      <c r="C6" s="3" t="s">
        <v>610</v>
      </c>
      <c r="D6" s="5">
        <f>IFERROR(AVERAGE('01 Product Master'!K2:K500),0)</f>
        <v>462.44680851063828</v>
      </c>
      <c r="E6" s="3" t="s">
        <v>611</v>
      </c>
      <c r="F6" s="6">
        <f>IFERROR(AVERAGE('01 Product Master'!Q2:Q500),0)</f>
        <v>0</v>
      </c>
    </row>
    <row r="9" spans="1:6" x14ac:dyDescent="0.2">
      <c r="A9" s="26" t="s">
        <v>612</v>
      </c>
      <c r="B9" s="23"/>
      <c r="C9" s="23"/>
      <c r="D9" s="23"/>
      <c r="E9" s="23"/>
      <c r="F9" s="23"/>
    </row>
    <row r="10" spans="1:6" x14ac:dyDescent="0.2">
      <c r="A10" s="24" t="s">
        <v>613</v>
      </c>
      <c r="B10" s="23"/>
      <c r="C10" s="23"/>
      <c r="D10" s="23"/>
      <c r="E10" s="23"/>
      <c r="F10" s="23"/>
    </row>
    <row r="11" spans="1:6" x14ac:dyDescent="0.2">
      <c r="A11" s="23"/>
      <c r="B11" s="23"/>
      <c r="C11" s="23"/>
      <c r="D11" s="23"/>
      <c r="E11" s="23"/>
      <c r="F11" s="23"/>
    </row>
    <row r="12" spans="1:6" x14ac:dyDescent="0.2">
      <c r="A12" s="23"/>
      <c r="B12" s="23"/>
      <c r="C12" s="23"/>
      <c r="D12" s="23"/>
      <c r="E12" s="23"/>
      <c r="F12" s="23"/>
    </row>
  </sheetData>
  <mergeCells count="3">
    <mergeCell ref="A10:F12"/>
    <mergeCell ref="A1:F1"/>
    <mergeCell ref="A9:F9"/>
  </mergeCells>
  <pageMargins left="0.25" right="0.25" top="0.5" bottom="0.5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6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36</v>
      </c>
    </row>
    <row r="2" spans="1:1" x14ac:dyDescent="0.2">
      <c r="A2" t="s">
        <v>614</v>
      </c>
    </row>
    <row r="3" spans="1:1" x14ac:dyDescent="0.2">
      <c r="A3" t="s">
        <v>615</v>
      </c>
    </row>
    <row r="4" spans="1:1" x14ac:dyDescent="0.2">
      <c r="A4" t="s">
        <v>616</v>
      </c>
    </row>
    <row r="5" spans="1:1" x14ac:dyDescent="0.2">
      <c r="A5" t="s">
        <v>617</v>
      </c>
    </row>
    <row r="6" spans="1:1" x14ac:dyDescent="0.2">
      <c r="A6" t="s">
        <v>618</v>
      </c>
    </row>
  </sheetData>
  <pageMargins left="0.25" right="0.25" top="0.5" bottom="0.5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Lembar kerja</vt:lpstr>
      </vt:variant>
      <vt:variant>
        <vt:i4>6</vt:i4>
      </vt:variant>
    </vt:vector>
  </HeadingPairs>
  <TitlesOfParts>
    <vt:vector size="6" baseType="lpstr">
      <vt:lpstr>00 Panduan</vt:lpstr>
      <vt:lpstr>01 Product Master</vt:lpstr>
      <vt:lpstr>02 Input Harga Kompetitor</vt:lpstr>
      <vt:lpstr>03 Pricing</vt:lpstr>
      <vt:lpstr>04 Dashboard</vt:lpstr>
      <vt:lpstr>05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Lidia Maya</cp:lastModifiedBy>
  <dcterms:created xsi:type="dcterms:W3CDTF">2026-08-13T05:59:37Z</dcterms:created>
  <dcterms:modified xsi:type="dcterms:W3CDTF">2026-08-30T20:45:21Z</dcterms:modified>
</cp:coreProperties>
</file>